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a\Desktop\DA CLASS NOTES AND PRACTICALS\PRACTICE\"/>
    </mc:Choice>
  </mc:AlternateContent>
  <xr:revisionPtr revIDLastSave="0" documentId="8_{406CA74C-A689-43A0-B56C-052B4B510E4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IVOT" sheetId="4" r:id="rId1"/>
    <sheet name="CLEANED" sheetId="3" r:id="rId2"/>
    <sheet name="Table1" sheetId="2" r:id="rId3"/>
    <sheet name="Sheet1" sheetId="1" r:id="rId4"/>
  </sheets>
  <definedNames>
    <definedName name="_xlchart.v1.0" hidden="1">PIVOT!$J$34</definedName>
    <definedName name="_xlchart.v1.1" hidden="1">PIVOT!$J$34</definedName>
    <definedName name="ExternalData_1" localSheetId="2" hidden="1">Table1!$A$1:$P$501</definedName>
    <definedName name="ExternalData_2" localSheetId="1" hidden="1">CLEANED!$A$1:$P$501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3" l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B501" i="2"/>
  <c r="B500" i="2"/>
  <c r="B499" i="2"/>
  <c r="B497" i="2"/>
  <c r="B496" i="2"/>
  <c r="B495" i="2"/>
  <c r="B494" i="2"/>
  <c r="B493" i="2"/>
  <c r="B492" i="2"/>
  <c r="B490" i="2"/>
  <c r="B489" i="2"/>
  <c r="B488" i="2"/>
  <c r="B487" i="2"/>
  <c r="B486" i="2"/>
  <c r="B485" i="2"/>
  <c r="B484" i="2"/>
  <c r="B483" i="2"/>
  <c r="B481" i="2"/>
  <c r="B480" i="2"/>
  <c r="B477" i="2"/>
  <c r="B476" i="2"/>
  <c r="B475" i="2"/>
  <c r="B474" i="2"/>
  <c r="B473" i="2"/>
  <c r="B471" i="2"/>
  <c r="B470" i="2"/>
  <c r="B466" i="2"/>
  <c r="B464" i="2"/>
  <c r="B463" i="2"/>
  <c r="B461" i="2"/>
  <c r="B460" i="2"/>
  <c r="B458" i="2"/>
  <c r="B457" i="2"/>
  <c r="B456" i="2"/>
  <c r="B455" i="2"/>
  <c r="B453" i="2"/>
  <c r="B452" i="2"/>
  <c r="B451" i="2"/>
  <c r="B450" i="2"/>
  <c r="B449" i="2"/>
  <c r="B448" i="2"/>
  <c r="B446" i="2"/>
  <c r="B445" i="2"/>
  <c r="B443" i="2"/>
  <c r="B442" i="2"/>
  <c r="B441" i="2"/>
  <c r="B440" i="2"/>
  <c r="B439" i="2"/>
  <c r="B438" i="2"/>
  <c r="B437" i="2"/>
  <c r="B435" i="2"/>
  <c r="B433" i="2"/>
  <c r="B431" i="2"/>
  <c r="B430" i="2"/>
  <c r="B428" i="2"/>
  <c r="B426" i="2"/>
  <c r="B424" i="2"/>
  <c r="B423" i="2"/>
  <c r="B422" i="2"/>
  <c r="B420" i="2"/>
  <c r="B418" i="2"/>
  <c r="B416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5" i="2"/>
  <c r="B394" i="2"/>
  <c r="B393" i="2"/>
  <c r="B392" i="2"/>
  <c r="B390" i="2"/>
  <c r="B389" i="2"/>
  <c r="B388" i="2"/>
  <c r="B387" i="2"/>
  <c r="B385" i="2"/>
  <c r="B384" i="2"/>
  <c r="B383" i="2"/>
  <c r="B382" i="2"/>
  <c r="B381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1" i="2"/>
  <c r="B350" i="2"/>
  <c r="B349" i="2"/>
  <c r="B348" i="2"/>
  <c r="B347" i="2"/>
  <c r="B346" i="2"/>
  <c r="B345" i="2"/>
  <c r="B344" i="2"/>
  <c r="B343" i="2"/>
  <c r="B342" i="2"/>
  <c r="B341" i="2"/>
  <c r="B339" i="2"/>
  <c r="B338" i="2"/>
  <c r="B337" i="2"/>
  <c r="B336" i="2"/>
  <c r="B335" i="2"/>
  <c r="B334" i="2"/>
  <c r="B333" i="2"/>
  <c r="B332" i="2"/>
  <c r="B331" i="2"/>
  <c r="B329" i="2"/>
  <c r="B328" i="2"/>
  <c r="B324" i="2"/>
  <c r="B321" i="2"/>
  <c r="B320" i="2"/>
  <c r="B317" i="2"/>
  <c r="B316" i="2"/>
  <c r="B315" i="2"/>
  <c r="B313" i="2"/>
  <c r="B312" i="2"/>
  <c r="B311" i="2"/>
  <c r="B310" i="2"/>
  <c r="B305" i="2"/>
  <c r="B303" i="2"/>
  <c r="B302" i="2"/>
  <c r="B300" i="2"/>
  <c r="B299" i="2"/>
  <c r="B297" i="2"/>
  <c r="B295" i="2"/>
  <c r="B294" i="2"/>
  <c r="B293" i="2"/>
  <c r="B290" i="2"/>
  <c r="B289" i="2"/>
  <c r="B288" i="2"/>
  <c r="B285" i="2"/>
  <c r="B284" i="2"/>
  <c r="B283" i="2"/>
  <c r="B280" i="2"/>
  <c r="B279" i="2"/>
  <c r="B278" i="2"/>
  <c r="B277" i="2"/>
  <c r="B276" i="2"/>
  <c r="B275" i="2"/>
  <c r="B274" i="2"/>
  <c r="B273" i="2"/>
  <c r="B272" i="2"/>
  <c r="B271" i="2"/>
  <c r="B270" i="2"/>
  <c r="B267" i="2"/>
  <c r="B266" i="2"/>
  <c r="B264" i="2"/>
  <c r="B262" i="2"/>
  <c r="B261" i="2"/>
  <c r="B260" i="2"/>
  <c r="B259" i="2"/>
  <c r="B258" i="2"/>
  <c r="B257" i="2"/>
  <c r="B256" i="2"/>
  <c r="B254" i="2"/>
  <c r="B253" i="2"/>
  <c r="B252" i="2"/>
  <c r="B251" i="2"/>
  <c r="B250" i="2"/>
  <c r="B249" i="2"/>
  <c r="B248" i="2"/>
  <c r="B247" i="2"/>
  <c r="B244" i="2"/>
  <c r="B243" i="2"/>
  <c r="B242" i="2"/>
  <c r="B241" i="2"/>
  <c r="B240" i="2"/>
  <c r="B238" i="2"/>
  <c r="B237" i="2"/>
  <c r="B236" i="2"/>
  <c r="B235" i="2"/>
  <c r="B234" i="2"/>
  <c r="B233" i="2"/>
  <c r="B232" i="2"/>
  <c r="B231" i="2"/>
  <c r="B230" i="2"/>
  <c r="B229" i="2"/>
  <c r="B227" i="2"/>
  <c r="B226" i="2"/>
  <c r="B224" i="2"/>
  <c r="B223" i="2"/>
  <c r="B222" i="2"/>
  <c r="B221" i="2"/>
  <c r="B220" i="2"/>
  <c r="B218" i="2"/>
  <c r="B214" i="2"/>
  <c r="B212" i="2"/>
  <c r="B211" i="2"/>
  <c r="B210" i="2"/>
  <c r="B208" i="2"/>
  <c r="B207" i="2"/>
  <c r="B206" i="2"/>
  <c r="B205" i="2"/>
  <c r="B204" i="2"/>
  <c r="B203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8" i="2"/>
  <c r="B187" i="2"/>
  <c r="B185" i="2"/>
  <c r="B184" i="2"/>
  <c r="B183" i="2"/>
  <c r="B182" i="2"/>
  <c r="B181" i="2"/>
  <c r="B179" i="2"/>
  <c r="B178" i="2"/>
  <c r="B177" i="2"/>
  <c r="B176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0" i="2"/>
  <c r="B159" i="2"/>
  <c r="B158" i="2"/>
  <c r="B157" i="2"/>
  <c r="B155" i="2"/>
  <c r="B153" i="2"/>
  <c r="B152" i="2"/>
  <c r="B151" i="2"/>
  <c r="B150" i="2"/>
  <c r="B149" i="2"/>
  <c r="B148" i="2"/>
  <c r="B146" i="2"/>
  <c r="B145" i="2"/>
  <c r="B144" i="2"/>
  <c r="B143" i="2"/>
  <c r="B142" i="2"/>
  <c r="B141" i="2"/>
  <c r="B140" i="2"/>
  <c r="B137" i="2"/>
  <c r="B136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8" i="2"/>
  <c r="B116" i="2"/>
  <c r="B114" i="2"/>
  <c r="B113" i="2"/>
  <c r="B112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6" i="2"/>
  <c r="B95" i="2"/>
  <c r="B94" i="2"/>
  <c r="B91" i="2"/>
  <c r="B90" i="2"/>
  <c r="B89" i="2"/>
  <c r="B88" i="2"/>
  <c r="B87" i="2"/>
  <c r="B86" i="2"/>
  <c r="B84" i="2"/>
  <c r="B83" i="2"/>
  <c r="B82" i="2"/>
  <c r="B81" i="2"/>
  <c r="B80" i="2"/>
  <c r="B79" i="2"/>
  <c r="B78" i="2"/>
  <c r="B77" i="2"/>
  <c r="B76" i="2"/>
  <c r="B75" i="2"/>
  <c r="B73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5" i="2"/>
  <c r="B54" i="2"/>
  <c r="B52" i="2"/>
  <c r="B50" i="2"/>
  <c r="B48" i="2"/>
  <c r="B46" i="2"/>
  <c r="B45" i="2"/>
  <c r="B44" i="2"/>
  <c r="B43" i="2"/>
  <c r="B42" i="2"/>
  <c r="B41" i="2"/>
  <c r="B40" i="2"/>
  <c r="B39" i="2"/>
  <c r="B38" i="2"/>
  <c r="B37" i="2"/>
  <c r="B35" i="2"/>
  <c r="B33" i="2"/>
  <c r="B32" i="2"/>
  <c r="B30" i="2"/>
  <c r="B29" i="2"/>
  <c r="B27" i="2"/>
  <c r="B26" i="2"/>
  <c r="B25" i="2"/>
  <c r="B22" i="2"/>
  <c r="B21" i="2"/>
  <c r="B19" i="2"/>
  <c r="B18" i="2"/>
  <c r="B17" i="2"/>
  <c r="B16" i="2"/>
  <c r="B15" i="2"/>
  <c r="B14" i="2"/>
  <c r="B12" i="2"/>
  <c r="B10" i="2"/>
  <c r="B9" i="2"/>
  <c r="B8" i="2"/>
  <c r="B7" i="2"/>
  <c r="B5" i="2"/>
  <c r="B4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B2" i="2"/>
  <c r="B3" i="2"/>
  <c r="B6" i="2"/>
  <c r="B11" i="2"/>
  <c r="B13" i="2"/>
  <c r="B20" i="2"/>
  <c r="B23" i="2"/>
  <c r="B24" i="2"/>
  <c r="B28" i="2"/>
  <c r="B31" i="2"/>
  <c r="B34" i="2"/>
  <c r="B36" i="2"/>
  <c r="B47" i="2"/>
  <c r="B49" i="2"/>
  <c r="B51" i="2"/>
  <c r="B53" i="2"/>
  <c r="B56" i="2"/>
  <c r="B72" i="2"/>
  <c r="B74" i="2"/>
  <c r="B85" i="2"/>
  <c r="B92" i="2"/>
  <c r="B93" i="2"/>
  <c r="B97" i="2"/>
  <c r="B111" i="2"/>
  <c r="B115" i="2"/>
  <c r="B117" i="2"/>
  <c r="B119" i="2"/>
  <c r="B135" i="2"/>
  <c r="B138" i="2"/>
  <c r="B139" i="2"/>
  <c r="B147" i="2"/>
  <c r="B154" i="2"/>
  <c r="B156" i="2"/>
  <c r="B161" i="2"/>
  <c r="B174" i="2"/>
  <c r="B175" i="2"/>
  <c r="B180" i="2"/>
  <c r="B186" i="2"/>
  <c r="B189" i="2"/>
  <c r="B202" i="2"/>
  <c r="B209" i="2"/>
  <c r="B213" i="2"/>
  <c r="B215" i="2"/>
  <c r="B216" i="2"/>
  <c r="B217" i="2"/>
  <c r="B219" i="2"/>
  <c r="B225" i="2"/>
  <c r="B228" i="2"/>
  <c r="B239" i="2"/>
  <c r="B245" i="2"/>
  <c r="B246" i="2"/>
  <c r="B255" i="2"/>
  <c r="B263" i="2"/>
  <c r="B265" i="2"/>
  <c r="B268" i="2"/>
  <c r="B269" i="2"/>
  <c r="B281" i="2"/>
  <c r="B282" i="2"/>
  <c r="B286" i="2"/>
  <c r="B287" i="2"/>
  <c r="B291" i="2"/>
  <c r="B292" i="2"/>
  <c r="B296" i="2"/>
  <c r="B298" i="2"/>
  <c r="B301" i="2"/>
  <c r="B304" i="2"/>
  <c r="B306" i="2"/>
  <c r="B307" i="2"/>
  <c r="B308" i="2"/>
  <c r="B309" i="2"/>
  <c r="B314" i="2"/>
  <c r="B318" i="2"/>
  <c r="B319" i="2"/>
  <c r="B322" i="2"/>
  <c r="B323" i="2"/>
  <c r="B325" i="2"/>
  <c r="B326" i="2"/>
  <c r="B327" i="2"/>
  <c r="B330" i="2"/>
  <c r="B340" i="2"/>
  <c r="B352" i="2"/>
  <c r="B365" i="2"/>
  <c r="B366" i="2"/>
  <c r="B367" i="2"/>
  <c r="B380" i="2"/>
  <c r="B386" i="2"/>
  <c r="B391" i="2"/>
  <c r="B396" i="2"/>
  <c r="B397" i="2"/>
  <c r="B415" i="2"/>
  <c r="B417" i="2"/>
  <c r="B419" i="2"/>
  <c r="B421" i="2"/>
  <c r="B425" i="2"/>
  <c r="B427" i="2"/>
  <c r="B429" i="2"/>
  <c r="B432" i="2"/>
  <c r="B434" i="2"/>
  <c r="B436" i="2"/>
  <c r="B444" i="2"/>
  <c r="B447" i="2"/>
  <c r="B454" i="2"/>
  <c r="B459" i="2"/>
  <c r="B462" i="2"/>
  <c r="B465" i="2"/>
  <c r="B467" i="2"/>
  <c r="B468" i="2"/>
  <c r="B469" i="2"/>
  <c r="B472" i="2"/>
  <c r="B478" i="2"/>
  <c r="B479" i="2"/>
  <c r="B482" i="2"/>
  <c r="B491" i="2"/>
  <c r="B49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AD9683-0559-4252-AA26-3CE92954AE4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AF9CEC31-626B-420F-954B-1EDA494ACB25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<sst xmlns="http://schemas.openxmlformats.org/spreadsheetml/2006/main" count="15311" uniqueCount="2011">
  <si>
    <t>Order ID</t>
  </si>
  <si>
    <t>Order Date</t>
  </si>
  <si>
    <t>Ship Date</t>
  </si>
  <si>
    <t>Customer Name</t>
  </si>
  <si>
    <t>Segment</t>
  </si>
  <si>
    <t>Country</t>
  </si>
  <si>
    <t>City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</si>
  <si>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</si>
  <si>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</si>
  <si>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</si>
  <si>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</si>
  <si>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</si>
  <si>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</si>
  <si>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</si>
  <si>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</si>
  <si>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 xml:space="preserve">ORD-1000 </t>
  </si>
  <si>
    <t xml:space="preserve">ORD-1001 </t>
  </si>
  <si>
    <t xml:space="preserve">ORD-1002 </t>
  </si>
  <si>
    <t xml:space="preserve">ORD-1003 </t>
  </si>
  <si>
    <t xml:space="preserve">ORD-1004 </t>
  </si>
  <si>
    <t xml:space="preserve">ORD-1005 </t>
  </si>
  <si>
    <t xml:space="preserve">ORD-1006 </t>
  </si>
  <si>
    <t xml:space="preserve">ORD-1007 </t>
  </si>
  <si>
    <t xml:space="preserve">ORD-1008 </t>
  </si>
  <si>
    <t xml:space="preserve">ORD-1009 </t>
  </si>
  <si>
    <t xml:space="preserve">ORD-1010 </t>
  </si>
  <si>
    <t xml:space="preserve">ORD-1011 </t>
  </si>
  <si>
    <t xml:space="preserve">ORD-1012 </t>
  </si>
  <si>
    <t xml:space="preserve">ORD-1013 </t>
  </si>
  <si>
    <t xml:space="preserve">ORD-1014 </t>
  </si>
  <si>
    <t xml:space="preserve">ORD-1015 </t>
  </si>
  <si>
    <t xml:space="preserve">ORD-1016 </t>
  </si>
  <si>
    <t xml:space="preserve">ORD-1017 </t>
  </si>
  <si>
    <t xml:space="preserve">ORD-1018 </t>
  </si>
  <si>
    <t xml:space="preserve">ORD-1019 </t>
  </si>
  <si>
    <t xml:space="preserve">ORD-1020 </t>
  </si>
  <si>
    <t xml:space="preserve">ORD-1021 </t>
  </si>
  <si>
    <t xml:space="preserve">ORD-1022 </t>
  </si>
  <si>
    <t xml:space="preserve">ORD-1023 </t>
  </si>
  <si>
    <t xml:space="preserve">ORD-1024 </t>
  </si>
  <si>
    <t xml:space="preserve">ORD-1025 </t>
  </si>
  <si>
    <t xml:space="preserve">ORD-1026 </t>
  </si>
  <si>
    <t xml:space="preserve">ORD-1027 </t>
  </si>
  <si>
    <t xml:space="preserve">ORD-1028 </t>
  </si>
  <si>
    <t xml:space="preserve">ORD-1029 </t>
  </si>
  <si>
    <t xml:space="preserve">ORD-1030 </t>
  </si>
  <si>
    <t xml:space="preserve">ORD-1031 </t>
  </si>
  <si>
    <t xml:space="preserve">ORD-1032 </t>
  </si>
  <si>
    <t xml:space="preserve">ORD-1033 </t>
  </si>
  <si>
    <t xml:space="preserve">ORD-1034 </t>
  </si>
  <si>
    <t xml:space="preserve">ORD-1035 </t>
  </si>
  <si>
    <t xml:space="preserve">ORD-1036 </t>
  </si>
  <si>
    <t xml:space="preserve">ORD-1037 </t>
  </si>
  <si>
    <t xml:space="preserve">ORD-1038 </t>
  </si>
  <si>
    <t xml:space="preserve">ORD-1039 </t>
  </si>
  <si>
    <t xml:space="preserve">ORD-1040 </t>
  </si>
  <si>
    <t xml:space="preserve">ORD-1041 </t>
  </si>
  <si>
    <t xml:space="preserve">ORD-1042 </t>
  </si>
  <si>
    <t xml:space="preserve">ORD-1043 </t>
  </si>
  <si>
    <t xml:space="preserve">ORD-1044 </t>
  </si>
  <si>
    <t xml:space="preserve">ORD-1045 </t>
  </si>
  <si>
    <t xml:space="preserve">ORD-1046 </t>
  </si>
  <si>
    <t xml:space="preserve">ORD-1047 </t>
  </si>
  <si>
    <t xml:space="preserve">ORD-1048 </t>
  </si>
  <si>
    <t xml:space="preserve">ORD-1049 </t>
  </si>
  <si>
    <t xml:space="preserve">ORD-1050 </t>
  </si>
  <si>
    <t xml:space="preserve">ORD-1051 </t>
  </si>
  <si>
    <t xml:space="preserve">ORD-1052 </t>
  </si>
  <si>
    <t xml:space="preserve">ORD-1053 </t>
  </si>
  <si>
    <t xml:space="preserve">ORD-1054 </t>
  </si>
  <si>
    <t xml:space="preserve">ORD-1055 </t>
  </si>
  <si>
    <t xml:space="preserve">ORD-1056 </t>
  </si>
  <si>
    <t xml:space="preserve">ORD-1057 </t>
  </si>
  <si>
    <t xml:space="preserve">ORD-1058 </t>
  </si>
  <si>
    <t xml:space="preserve">ORD-1059 </t>
  </si>
  <si>
    <t xml:space="preserve">ORD-1060 </t>
  </si>
  <si>
    <t xml:space="preserve">ORD-1061 </t>
  </si>
  <si>
    <t xml:space="preserve">ORD-1062 </t>
  </si>
  <si>
    <t xml:space="preserve">ORD-1063 </t>
  </si>
  <si>
    <t xml:space="preserve">ORD-1064 </t>
  </si>
  <si>
    <t xml:space="preserve">ORD-1065 </t>
  </si>
  <si>
    <t xml:space="preserve">ORD-1066 </t>
  </si>
  <si>
    <t xml:space="preserve">ORD-1067 </t>
  </si>
  <si>
    <t xml:space="preserve">ORD-1068 </t>
  </si>
  <si>
    <t xml:space="preserve">ORD-1069 </t>
  </si>
  <si>
    <t xml:space="preserve">ORD-1070 </t>
  </si>
  <si>
    <t xml:space="preserve">ORD-1071 </t>
  </si>
  <si>
    <t xml:space="preserve">ORD-1072 </t>
  </si>
  <si>
    <t xml:space="preserve">ORD-1073 </t>
  </si>
  <si>
    <t xml:space="preserve">ORD-1074 </t>
  </si>
  <si>
    <t xml:space="preserve">ORD-1075 </t>
  </si>
  <si>
    <t xml:space="preserve">ORD-1076 </t>
  </si>
  <si>
    <t xml:space="preserve">ORD-1077 </t>
  </si>
  <si>
    <t xml:space="preserve">ORD-1078 </t>
  </si>
  <si>
    <t xml:space="preserve">ORD-1079 </t>
  </si>
  <si>
    <t xml:space="preserve">ORD-1080 </t>
  </si>
  <si>
    <t xml:space="preserve">ORD-1081 </t>
  </si>
  <si>
    <t xml:space="preserve">ORD-1082 </t>
  </si>
  <si>
    <t xml:space="preserve">ORD-1083 </t>
  </si>
  <si>
    <t xml:space="preserve">ORD-1084 </t>
  </si>
  <si>
    <t xml:space="preserve">ORD-1085 </t>
  </si>
  <si>
    <t xml:space="preserve">ORD-1086 </t>
  </si>
  <si>
    <t xml:space="preserve">ORD-1087 </t>
  </si>
  <si>
    <t xml:space="preserve">ORD-1088 </t>
  </si>
  <si>
    <t xml:space="preserve">ORD-1089 </t>
  </si>
  <si>
    <t xml:space="preserve">ORD-1090 </t>
  </si>
  <si>
    <t xml:space="preserve">ORD-1091 </t>
  </si>
  <si>
    <t xml:space="preserve">ORD-1092 </t>
  </si>
  <si>
    <t xml:space="preserve">ORD-1093 </t>
  </si>
  <si>
    <t xml:space="preserve">ORD-1094 </t>
  </si>
  <si>
    <t xml:space="preserve">ORD-1095 </t>
  </si>
  <si>
    <t xml:space="preserve">ORD-1096 </t>
  </si>
  <si>
    <t xml:space="preserve">ORD-1097 </t>
  </si>
  <si>
    <t xml:space="preserve">ORD-1098 </t>
  </si>
  <si>
    <t xml:space="preserve">ORD-1099 </t>
  </si>
  <si>
    <t xml:space="preserve">ORD-1100 </t>
  </si>
  <si>
    <t xml:space="preserve">ORD-1101 </t>
  </si>
  <si>
    <t xml:space="preserve">ORD-1102 </t>
  </si>
  <si>
    <t xml:space="preserve">ORD-1103 </t>
  </si>
  <si>
    <t xml:space="preserve">ORD-1104 </t>
  </si>
  <si>
    <t xml:space="preserve">ORD-1105 </t>
  </si>
  <si>
    <t xml:space="preserve">ORD-1106 </t>
  </si>
  <si>
    <t xml:space="preserve">ORD-1107 </t>
  </si>
  <si>
    <t xml:space="preserve">ORD-1108 </t>
  </si>
  <si>
    <t xml:space="preserve">ORD-1109 </t>
  </si>
  <si>
    <t xml:space="preserve">ORD-1110 </t>
  </si>
  <si>
    <t xml:space="preserve">ORD-1111 </t>
  </si>
  <si>
    <t xml:space="preserve">ORD-1112 </t>
  </si>
  <si>
    <t xml:space="preserve">ORD-1113 </t>
  </si>
  <si>
    <t xml:space="preserve">ORD-1114 </t>
  </si>
  <si>
    <t xml:space="preserve">ORD-1115 </t>
  </si>
  <si>
    <t xml:space="preserve">ORD-1116 </t>
  </si>
  <si>
    <t xml:space="preserve">ORD-1117 </t>
  </si>
  <si>
    <t xml:space="preserve">ORD-1118 </t>
  </si>
  <si>
    <t xml:space="preserve">ORD-1119 </t>
  </si>
  <si>
    <t xml:space="preserve">ORD-1120 </t>
  </si>
  <si>
    <t xml:space="preserve">ORD-1121 </t>
  </si>
  <si>
    <t xml:space="preserve">ORD-1122 </t>
  </si>
  <si>
    <t xml:space="preserve">ORD-1123 </t>
  </si>
  <si>
    <t xml:space="preserve">ORD-1124 </t>
  </si>
  <si>
    <t xml:space="preserve">ORD-1125 </t>
  </si>
  <si>
    <t xml:space="preserve">ORD-1126 </t>
  </si>
  <si>
    <t xml:space="preserve">ORD-1127 </t>
  </si>
  <si>
    <t xml:space="preserve">ORD-1128 </t>
  </si>
  <si>
    <t xml:space="preserve">ORD-1129 </t>
  </si>
  <si>
    <t xml:space="preserve">ORD-1130 </t>
  </si>
  <si>
    <t xml:space="preserve">ORD-1131 </t>
  </si>
  <si>
    <t xml:space="preserve">ORD-1132 </t>
  </si>
  <si>
    <t xml:space="preserve">ORD-1133 </t>
  </si>
  <si>
    <t xml:space="preserve">ORD-1134 </t>
  </si>
  <si>
    <t xml:space="preserve">ORD-1135 </t>
  </si>
  <si>
    <t xml:space="preserve">ORD-1136 </t>
  </si>
  <si>
    <t xml:space="preserve">ORD-1137 </t>
  </si>
  <si>
    <t xml:space="preserve">ORD-1138 </t>
  </si>
  <si>
    <t xml:space="preserve">ORD-1139 </t>
  </si>
  <si>
    <t xml:space="preserve">ORD-1140 </t>
  </si>
  <si>
    <t xml:space="preserve">ORD-1141 </t>
  </si>
  <si>
    <t xml:space="preserve">ORD-1142 </t>
  </si>
  <si>
    <t xml:space="preserve">ORD-1143 </t>
  </si>
  <si>
    <t xml:space="preserve">ORD-1144 </t>
  </si>
  <si>
    <t xml:space="preserve">ORD-1145 </t>
  </si>
  <si>
    <t xml:space="preserve">ORD-1146 </t>
  </si>
  <si>
    <t xml:space="preserve">ORD-1147 </t>
  </si>
  <si>
    <t xml:space="preserve">ORD-1148 </t>
  </si>
  <si>
    <t xml:space="preserve">ORD-1149 </t>
  </si>
  <si>
    <t xml:space="preserve">ORD-1150 </t>
  </si>
  <si>
    <t xml:space="preserve">ORD-1151 </t>
  </si>
  <si>
    <t xml:space="preserve">ORD-1152 </t>
  </si>
  <si>
    <t xml:space="preserve">ORD-1153 </t>
  </si>
  <si>
    <t xml:space="preserve">ORD-1154 </t>
  </si>
  <si>
    <t xml:space="preserve">ORD-1155 </t>
  </si>
  <si>
    <t xml:space="preserve">ORD-1156 </t>
  </si>
  <si>
    <t xml:space="preserve">ORD-1157 </t>
  </si>
  <si>
    <t xml:space="preserve">ORD-1158 </t>
  </si>
  <si>
    <t xml:space="preserve">ORD-1159 </t>
  </si>
  <si>
    <t xml:space="preserve">ORD-1160 </t>
  </si>
  <si>
    <t xml:space="preserve">ORD-1161 </t>
  </si>
  <si>
    <t xml:space="preserve">ORD-1162 </t>
  </si>
  <si>
    <t xml:space="preserve">ORD-1163 </t>
  </si>
  <si>
    <t xml:space="preserve">ORD-1164 </t>
  </si>
  <si>
    <t xml:space="preserve">ORD-1165 </t>
  </si>
  <si>
    <t xml:space="preserve">ORD-1166 </t>
  </si>
  <si>
    <t xml:space="preserve">ORD-1167 </t>
  </si>
  <si>
    <t xml:space="preserve">ORD-1168 </t>
  </si>
  <si>
    <t xml:space="preserve">ORD-1169 </t>
  </si>
  <si>
    <t xml:space="preserve">ORD-1170 </t>
  </si>
  <si>
    <t xml:space="preserve">ORD-1171 </t>
  </si>
  <si>
    <t xml:space="preserve">ORD-1172 </t>
  </si>
  <si>
    <t xml:space="preserve">ORD-1173 </t>
  </si>
  <si>
    <t xml:space="preserve">ORD-1174 </t>
  </si>
  <si>
    <t xml:space="preserve">ORD-1175 </t>
  </si>
  <si>
    <t xml:space="preserve">ORD-1176 </t>
  </si>
  <si>
    <t xml:space="preserve">ORD-1177 </t>
  </si>
  <si>
    <t xml:space="preserve">ORD-1178 </t>
  </si>
  <si>
    <t xml:space="preserve">ORD-1179 </t>
  </si>
  <si>
    <t xml:space="preserve">ORD-1180 </t>
  </si>
  <si>
    <t xml:space="preserve">ORD-1181 </t>
  </si>
  <si>
    <t xml:space="preserve">ORD-1182 </t>
  </si>
  <si>
    <t xml:space="preserve">ORD-1183 </t>
  </si>
  <si>
    <t xml:space="preserve">ORD-1184 </t>
  </si>
  <si>
    <t xml:space="preserve">ORD-1185 </t>
  </si>
  <si>
    <t xml:space="preserve">ORD-1186 </t>
  </si>
  <si>
    <t xml:space="preserve">ORD-1187 </t>
  </si>
  <si>
    <t xml:space="preserve">ORD-1188 </t>
  </si>
  <si>
    <t xml:space="preserve">ORD-1189 </t>
  </si>
  <si>
    <t xml:space="preserve">ORD-1190 </t>
  </si>
  <si>
    <t xml:space="preserve">ORD-1191 </t>
  </si>
  <si>
    <t xml:space="preserve">ORD-1192 </t>
  </si>
  <si>
    <t xml:space="preserve">ORD-1193 </t>
  </si>
  <si>
    <t xml:space="preserve">ORD-1194 </t>
  </si>
  <si>
    <t xml:space="preserve">ORD-1195 </t>
  </si>
  <si>
    <t xml:space="preserve">ORD-1196 </t>
  </si>
  <si>
    <t xml:space="preserve">ORD-1197 </t>
  </si>
  <si>
    <t xml:space="preserve">ORD-1198 </t>
  </si>
  <si>
    <t xml:space="preserve">ORD-1199 </t>
  </si>
  <si>
    <t xml:space="preserve">ORD-1200 </t>
  </si>
  <si>
    <t xml:space="preserve">ORD-1201 </t>
  </si>
  <si>
    <t xml:space="preserve">ORD-1202 </t>
  </si>
  <si>
    <t xml:space="preserve">ORD-1203 </t>
  </si>
  <si>
    <t xml:space="preserve">ORD-1204 </t>
  </si>
  <si>
    <t xml:space="preserve">ORD-1205 </t>
  </si>
  <si>
    <t xml:space="preserve">ORD-1206 </t>
  </si>
  <si>
    <t xml:space="preserve">ORD-1207 </t>
  </si>
  <si>
    <t xml:space="preserve">ORD-1208 </t>
  </si>
  <si>
    <t xml:space="preserve">ORD-1209 </t>
  </si>
  <si>
    <t xml:space="preserve">ORD-1210 </t>
  </si>
  <si>
    <t xml:space="preserve">ORD-1211 </t>
  </si>
  <si>
    <t xml:space="preserve">ORD-1212 </t>
  </si>
  <si>
    <t xml:space="preserve">ORD-1213 </t>
  </si>
  <si>
    <t xml:space="preserve">ORD-1214 </t>
  </si>
  <si>
    <t xml:space="preserve">ORD-1215 </t>
  </si>
  <si>
    <t xml:space="preserve">ORD-1216 </t>
  </si>
  <si>
    <t xml:space="preserve">ORD-1217 </t>
  </si>
  <si>
    <t xml:space="preserve">ORD-1218 </t>
  </si>
  <si>
    <t xml:space="preserve">ORD-1219 </t>
  </si>
  <si>
    <t xml:space="preserve">ORD-1220 </t>
  </si>
  <si>
    <t xml:space="preserve">ORD-1221 </t>
  </si>
  <si>
    <t xml:space="preserve">ORD-1222 </t>
  </si>
  <si>
    <t xml:space="preserve">ORD-1223 </t>
  </si>
  <si>
    <t xml:space="preserve">ORD-1224 </t>
  </si>
  <si>
    <t xml:space="preserve">ORD-1225 </t>
  </si>
  <si>
    <t xml:space="preserve">ORD-1226 </t>
  </si>
  <si>
    <t xml:space="preserve">ORD-1227 </t>
  </si>
  <si>
    <t xml:space="preserve">ORD-1228 </t>
  </si>
  <si>
    <t xml:space="preserve">ORD-1229 </t>
  </si>
  <si>
    <t xml:space="preserve">ORD-1230 </t>
  </si>
  <si>
    <t xml:space="preserve">ORD-1231 </t>
  </si>
  <si>
    <t xml:space="preserve">ORD-1232 </t>
  </si>
  <si>
    <t xml:space="preserve">ORD-1233 </t>
  </si>
  <si>
    <t xml:space="preserve">ORD-1234 </t>
  </si>
  <si>
    <t xml:space="preserve">ORD-1235 </t>
  </si>
  <si>
    <t xml:space="preserve">ORD-1236 </t>
  </si>
  <si>
    <t xml:space="preserve">ORD-1237 </t>
  </si>
  <si>
    <t xml:space="preserve">ORD-1238 </t>
  </si>
  <si>
    <t xml:space="preserve">ORD-1239 </t>
  </si>
  <si>
    <t xml:space="preserve">ORD-1240 </t>
  </si>
  <si>
    <t xml:space="preserve">ORD-1241 </t>
  </si>
  <si>
    <t xml:space="preserve">ORD-1242 </t>
  </si>
  <si>
    <t xml:space="preserve">ORD-1243 </t>
  </si>
  <si>
    <t xml:space="preserve">ORD-1244 </t>
  </si>
  <si>
    <t xml:space="preserve">ORD-1245 </t>
  </si>
  <si>
    <t xml:space="preserve">ORD-1246 </t>
  </si>
  <si>
    <t xml:space="preserve">ORD-1247 </t>
  </si>
  <si>
    <t xml:space="preserve">ORD-1248 </t>
  </si>
  <si>
    <t xml:space="preserve">ORD-1249 </t>
  </si>
  <si>
    <t xml:space="preserve">ORD-1250 </t>
  </si>
  <si>
    <t xml:space="preserve">ORD-1251 </t>
  </si>
  <si>
    <t xml:space="preserve">ORD-1252 </t>
  </si>
  <si>
    <t xml:space="preserve">ORD-1253 </t>
  </si>
  <si>
    <t xml:space="preserve">ORD-1254 </t>
  </si>
  <si>
    <t xml:space="preserve">ORD-1255 </t>
  </si>
  <si>
    <t xml:space="preserve">ORD-1256 </t>
  </si>
  <si>
    <t xml:space="preserve">ORD-1257 </t>
  </si>
  <si>
    <t xml:space="preserve">ORD-1258 </t>
  </si>
  <si>
    <t xml:space="preserve">ORD-1259 </t>
  </si>
  <si>
    <t xml:space="preserve">ORD-1260 </t>
  </si>
  <si>
    <t xml:space="preserve">ORD-1261 </t>
  </si>
  <si>
    <t xml:space="preserve">ORD-1262 </t>
  </si>
  <si>
    <t xml:space="preserve">ORD-1263 </t>
  </si>
  <si>
    <t xml:space="preserve">ORD-1264 </t>
  </si>
  <si>
    <t xml:space="preserve">ORD-1265 </t>
  </si>
  <si>
    <t xml:space="preserve">ORD-1266 </t>
  </si>
  <si>
    <t xml:space="preserve">ORD-1267 </t>
  </si>
  <si>
    <t xml:space="preserve">ORD-1268 </t>
  </si>
  <si>
    <t xml:space="preserve">ORD-1269 </t>
  </si>
  <si>
    <t xml:space="preserve">ORD-1270 </t>
  </si>
  <si>
    <t xml:space="preserve">ORD-1271 </t>
  </si>
  <si>
    <t xml:space="preserve">ORD-1272 </t>
  </si>
  <si>
    <t xml:space="preserve">ORD-1273 </t>
  </si>
  <si>
    <t xml:space="preserve">ORD-1274 </t>
  </si>
  <si>
    <t xml:space="preserve">ORD-1275 </t>
  </si>
  <si>
    <t xml:space="preserve">ORD-1276 </t>
  </si>
  <si>
    <t xml:space="preserve">ORD-1277 </t>
  </si>
  <si>
    <t xml:space="preserve">ORD-1278 </t>
  </si>
  <si>
    <t xml:space="preserve">ORD-1279 </t>
  </si>
  <si>
    <t xml:space="preserve">ORD-1280 </t>
  </si>
  <si>
    <t xml:space="preserve">ORD-1281 </t>
  </si>
  <si>
    <t xml:space="preserve">ORD-1282 </t>
  </si>
  <si>
    <t xml:space="preserve">ORD-1283 </t>
  </si>
  <si>
    <t xml:space="preserve">ORD-1284 </t>
  </si>
  <si>
    <t xml:space="preserve">ORD-1285 </t>
  </si>
  <si>
    <t xml:space="preserve">ORD-1286 </t>
  </si>
  <si>
    <t xml:space="preserve">ORD-1287 </t>
  </si>
  <si>
    <t xml:space="preserve">ORD-1288 </t>
  </si>
  <si>
    <t xml:space="preserve">ORD-1289 </t>
  </si>
  <si>
    <t xml:space="preserve">ORD-1290 </t>
  </si>
  <si>
    <t xml:space="preserve">ORD-1291 </t>
  </si>
  <si>
    <t xml:space="preserve">ORD-1292 </t>
  </si>
  <si>
    <t xml:space="preserve">ORD-1293 </t>
  </si>
  <si>
    <t xml:space="preserve">ORD-1294 </t>
  </si>
  <si>
    <t xml:space="preserve">ORD-1295 </t>
  </si>
  <si>
    <t xml:space="preserve">ORD-1296 </t>
  </si>
  <si>
    <t xml:space="preserve">ORD-1297 </t>
  </si>
  <si>
    <t xml:space="preserve">ORD-1298 </t>
  </si>
  <si>
    <t xml:space="preserve">ORD-1299 </t>
  </si>
  <si>
    <t xml:space="preserve">ORD-1300 </t>
  </si>
  <si>
    <t xml:space="preserve">ORD-1301 </t>
  </si>
  <si>
    <t xml:space="preserve">ORD-1302 </t>
  </si>
  <si>
    <t xml:space="preserve">ORD-1303 </t>
  </si>
  <si>
    <t xml:space="preserve">ORD-1304 </t>
  </si>
  <si>
    <t xml:space="preserve">ORD-1305 </t>
  </si>
  <si>
    <t xml:space="preserve">ORD-1306 </t>
  </si>
  <si>
    <t xml:space="preserve">ORD-1307 </t>
  </si>
  <si>
    <t xml:space="preserve">ORD-1308 </t>
  </si>
  <si>
    <t xml:space="preserve">ORD-1309 </t>
  </si>
  <si>
    <t xml:space="preserve">ORD-1310 </t>
  </si>
  <si>
    <t xml:space="preserve">ORD-1311 </t>
  </si>
  <si>
    <t xml:space="preserve">ORD-1312 </t>
  </si>
  <si>
    <t xml:space="preserve">ORD-1313 </t>
  </si>
  <si>
    <t xml:space="preserve">ORD-1314 </t>
  </si>
  <si>
    <t xml:space="preserve">ORD-1315 </t>
  </si>
  <si>
    <t xml:space="preserve">ORD-1316 </t>
  </si>
  <si>
    <t xml:space="preserve">ORD-1317 </t>
  </si>
  <si>
    <t xml:space="preserve">ORD-1318 </t>
  </si>
  <si>
    <t xml:space="preserve">ORD-1319 </t>
  </si>
  <si>
    <t xml:space="preserve">ORD-1320 </t>
  </si>
  <si>
    <t xml:space="preserve">ORD-1321 </t>
  </si>
  <si>
    <t xml:space="preserve">ORD-1322 </t>
  </si>
  <si>
    <t xml:space="preserve">ORD-1323 </t>
  </si>
  <si>
    <t xml:space="preserve">ORD-1324 </t>
  </si>
  <si>
    <t xml:space="preserve">ORD-1325 </t>
  </si>
  <si>
    <t xml:space="preserve">ORD-1326 </t>
  </si>
  <si>
    <t xml:space="preserve">ORD-1327 </t>
  </si>
  <si>
    <t xml:space="preserve">ORD-1328 </t>
  </si>
  <si>
    <t xml:space="preserve">ORD-1329 </t>
  </si>
  <si>
    <t xml:space="preserve">ORD-1330 </t>
  </si>
  <si>
    <t xml:space="preserve">ORD-1331 </t>
  </si>
  <si>
    <t xml:space="preserve">ORD-1332 </t>
  </si>
  <si>
    <t xml:space="preserve">ORD-1333 </t>
  </si>
  <si>
    <t xml:space="preserve">ORD-1334 </t>
  </si>
  <si>
    <t xml:space="preserve">ORD-1335 </t>
  </si>
  <si>
    <t xml:space="preserve">ORD-1336 </t>
  </si>
  <si>
    <t xml:space="preserve">ORD-1337 </t>
  </si>
  <si>
    <t xml:space="preserve">ORD-1338 </t>
  </si>
  <si>
    <t xml:space="preserve">ORD-1339 </t>
  </si>
  <si>
    <t xml:space="preserve">ORD-1340 </t>
  </si>
  <si>
    <t xml:space="preserve">ORD-1341 </t>
  </si>
  <si>
    <t xml:space="preserve">ORD-1342 </t>
  </si>
  <si>
    <t xml:space="preserve">ORD-1343 </t>
  </si>
  <si>
    <t xml:space="preserve">ORD-1344 </t>
  </si>
  <si>
    <t xml:space="preserve">ORD-1345 </t>
  </si>
  <si>
    <t xml:space="preserve">ORD-1346 </t>
  </si>
  <si>
    <t xml:space="preserve">ORD-1347 </t>
  </si>
  <si>
    <t xml:space="preserve">ORD-1348 </t>
  </si>
  <si>
    <t xml:space="preserve">ORD-1349 </t>
  </si>
  <si>
    <t xml:space="preserve">ORD-1350 </t>
  </si>
  <si>
    <t xml:space="preserve">ORD-1351 </t>
  </si>
  <si>
    <t xml:space="preserve">ORD-1352 </t>
  </si>
  <si>
    <t xml:space="preserve">ORD-1353 </t>
  </si>
  <si>
    <t xml:space="preserve">ORD-1354 </t>
  </si>
  <si>
    <t xml:space="preserve">ORD-1355 </t>
  </si>
  <si>
    <t xml:space="preserve">ORD-1356 </t>
  </si>
  <si>
    <t xml:space="preserve">ORD-1357 </t>
  </si>
  <si>
    <t xml:space="preserve">ORD-1358 </t>
  </si>
  <si>
    <t xml:space="preserve">ORD-1359 </t>
  </si>
  <si>
    <t xml:space="preserve">ORD-1360 </t>
  </si>
  <si>
    <t xml:space="preserve">ORD-1361 </t>
  </si>
  <si>
    <t xml:space="preserve">ORD-1362 </t>
  </si>
  <si>
    <t xml:space="preserve">ORD-1363 </t>
  </si>
  <si>
    <t xml:space="preserve">ORD-1364 </t>
  </si>
  <si>
    <t xml:space="preserve">ORD-1365 </t>
  </si>
  <si>
    <t xml:space="preserve">ORD-1366 </t>
  </si>
  <si>
    <t xml:space="preserve">ORD-1367 </t>
  </si>
  <si>
    <t xml:space="preserve">ORD-1368 </t>
  </si>
  <si>
    <t xml:space="preserve">ORD-1369 </t>
  </si>
  <si>
    <t xml:space="preserve">ORD-1370 </t>
  </si>
  <si>
    <t xml:space="preserve">ORD-1371 </t>
  </si>
  <si>
    <t xml:space="preserve">ORD-1372 </t>
  </si>
  <si>
    <t xml:space="preserve">ORD-1373 </t>
  </si>
  <si>
    <t xml:space="preserve">ORD-1374 </t>
  </si>
  <si>
    <t xml:space="preserve">ORD-1375 </t>
  </si>
  <si>
    <t xml:space="preserve">ORD-1376 </t>
  </si>
  <si>
    <t xml:space="preserve">ORD-1377 </t>
  </si>
  <si>
    <t xml:space="preserve">ORD-1378 </t>
  </si>
  <si>
    <t xml:space="preserve">ORD-1379 </t>
  </si>
  <si>
    <t xml:space="preserve">ORD-1380 </t>
  </si>
  <si>
    <t xml:space="preserve">ORD-1381 </t>
  </si>
  <si>
    <t xml:space="preserve">ORD-1382 </t>
  </si>
  <si>
    <t xml:space="preserve">ORD-1383 </t>
  </si>
  <si>
    <t xml:space="preserve">ORD-1384 </t>
  </si>
  <si>
    <t xml:space="preserve">ORD-1385 </t>
  </si>
  <si>
    <t xml:space="preserve">ORD-1386 </t>
  </si>
  <si>
    <t xml:space="preserve">ORD-1387 </t>
  </si>
  <si>
    <t xml:space="preserve">ORD-1388 </t>
  </si>
  <si>
    <t xml:space="preserve">ORD-1389 </t>
  </si>
  <si>
    <t xml:space="preserve">ORD-1390 </t>
  </si>
  <si>
    <t xml:space="preserve">ORD-1391 </t>
  </si>
  <si>
    <t xml:space="preserve">ORD-1392 </t>
  </si>
  <si>
    <t xml:space="preserve">ORD-1393 </t>
  </si>
  <si>
    <t xml:space="preserve">ORD-1394 </t>
  </si>
  <si>
    <t xml:space="preserve">ORD-1395 </t>
  </si>
  <si>
    <t xml:space="preserve">ORD-1396 </t>
  </si>
  <si>
    <t xml:space="preserve">ORD-1397 </t>
  </si>
  <si>
    <t xml:space="preserve">ORD-1398 </t>
  </si>
  <si>
    <t xml:space="preserve">ORD-1399 </t>
  </si>
  <si>
    <t xml:space="preserve">ORD-1400 </t>
  </si>
  <si>
    <t xml:space="preserve">ORD-1401 </t>
  </si>
  <si>
    <t xml:space="preserve">ORD-1402 </t>
  </si>
  <si>
    <t xml:space="preserve">ORD-1403 </t>
  </si>
  <si>
    <t xml:space="preserve">ORD-1404 </t>
  </si>
  <si>
    <t xml:space="preserve">ORD-1405 </t>
  </si>
  <si>
    <t xml:space="preserve">ORD-1406 </t>
  </si>
  <si>
    <t xml:space="preserve">ORD-1407 </t>
  </si>
  <si>
    <t xml:space="preserve">ORD-1408 </t>
  </si>
  <si>
    <t xml:space="preserve">ORD-1409 </t>
  </si>
  <si>
    <t xml:space="preserve">ORD-1410 </t>
  </si>
  <si>
    <t xml:space="preserve">ORD-1411 </t>
  </si>
  <si>
    <t xml:space="preserve">ORD-1412 </t>
  </si>
  <si>
    <t xml:space="preserve">ORD-1413 </t>
  </si>
  <si>
    <t xml:space="preserve">ORD-1414 </t>
  </si>
  <si>
    <t xml:space="preserve">ORD-1415 </t>
  </si>
  <si>
    <t xml:space="preserve">ORD-1416 </t>
  </si>
  <si>
    <t xml:space="preserve">ORD-1417 </t>
  </si>
  <si>
    <t xml:space="preserve">ORD-1418 </t>
  </si>
  <si>
    <t xml:space="preserve">ORD-1419 </t>
  </si>
  <si>
    <t xml:space="preserve">ORD-1420 </t>
  </si>
  <si>
    <t xml:space="preserve">ORD-1421 </t>
  </si>
  <si>
    <t xml:space="preserve">ORD-1422 </t>
  </si>
  <si>
    <t xml:space="preserve">ORD-1423 </t>
  </si>
  <si>
    <t xml:space="preserve">ORD-1424 </t>
  </si>
  <si>
    <t xml:space="preserve">ORD-1425 </t>
  </si>
  <si>
    <t xml:space="preserve">ORD-1426 </t>
  </si>
  <si>
    <t xml:space="preserve">ORD-1427 </t>
  </si>
  <si>
    <t xml:space="preserve">ORD-1428 </t>
  </si>
  <si>
    <t xml:space="preserve">ORD-1429 </t>
  </si>
  <si>
    <t xml:space="preserve">ORD-1430 </t>
  </si>
  <si>
    <t xml:space="preserve">ORD-1431 </t>
  </si>
  <si>
    <t xml:space="preserve">ORD-1432 </t>
  </si>
  <si>
    <t xml:space="preserve">ORD-1433 </t>
  </si>
  <si>
    <t xml:space="preserve">ORD-1434 </t>
  </si>
  <si>
    <t xml:space="preserve">ORD-1435 </t>
  </si>
  <si>
    <t xml:space="preserve">ORD-1436 </t>
  </si>
  <si>
    <t xml:space="preserve">ORD-1437 </t>
  </si>
  <si>
    <t xml:space="preserve">ORD-1438 </t>
  </si>
  <si>
    <t xml:space="preserve">ORD-1439 </t>
  </si>
  <si>
    <t xml:space="preserve">ORD-1440 </t>
  </si>
  <si>
    <t xml:space="preserve">ORD-1441 </t>
  </si>
  <si>
    <t xml:space="preserve">ORD-1442 </t>
  </si>
  <si>
    <t xml:space="preserve">ORD-1443 </t>
  </si>
  <si>
    <t xml:space="preserve">ORD-1444 </t>
  </si>
  <si>
    <t xml:space="preserve">ORD-1445 </t>
  </si>
  <si>
    <t xml:space="preserve">ORD-1446 </t>
  </si>
  <si>
    <t xml:space="preserve">ORD-1447 </t>
  </si>
  <si>
    <t xml:space="preserve">ORD-1448 </t>
  </si>
  <si>
    <t xml:space="preserve">ORD-1449 </t>
  </si>
  <si>
    <t xml:space="preserve">ORD-1450 </t>
  </si>
  <si>
    <t xml:space="preserve">ORD-1451 </t>
  </si>
  <si>
    <t xml:space="preserve">ORD-1452 </t>
  </si>
  <si>
    <t xml:space="preserve">ORD-1453 </t>
  </si>
  <si>
    <t xml:space="preserve">ORD-1454 </t>
  </si>
  <si>
    <t xml:space="preserve">ORD-1455 </t>
  </si>
  <si>
    <t xml:space="preserve">ORD-1456 </t>
  </si>
  <si>
    <t xml:space="preserve">ORD-1457 </t>
  </si>
  <si>
    <t xml:space="preserve">ORD-1458 </t>
  </si>
  <si>
    <t xml:space="preserve">ORD-1459 </t>
  </si>
  <si>
    <t xml:space="preserve">ORD-1460 </t>
  </si>
  <si>
    <t xml:space="preserve">ORD-1461 </t>
  </si>
  <si>
    <t xml:space="preserve">ORD-1462 </t>
  </si>
  <si>
    <t xml:space="preserve">ORD-1463 </t>
  </si>
  <si>
    <t xml:space="preserve">ORD-1464 </t>
  </si>
  <si>
    <t xml:space="preserve">ORD-1465 </t>
  </si>
  <si>
    <t xml:space="preserve">ORD-1466 </t>
  </si>
  <si>
    <t xml:space="preserve">ORD-1467 </t>
  </si>
  <si>
    <t xml:space="preserve">ORD-1468 </t>
  </si>
  <si>
    <t xml:space="preserve">ORD-1469 </t>
  </si>
  <si>
    <t xml:space="preserve">ORD-1470 </t>
  </si>
  <si>
    <t xml:space="preserve">ORD-1471 </t>
  </si>
  <si>
    <t xml:space="preserve">ORD-1472 </t>
  </si>
  <si>
    <t xml:space="preserve">ORD-1473 </t>
  </si>
  <si>
    <t xml:space="preserve">ORD-1474 </t>
  </si>
  <si>
    <t xml:space="preserve">ORD-1475 </t>
  </si>
  <si>
    <t xml:space="preserve">ORD-1476 </t>
  </si>
  <si>
    <t xml:space="preserve">ORD-1477 </t>
  </si>
  <si>
    <t xml:space="preserve">ORD-1478 </t>
  </si>
  <si>
    <t xml:space="preserve">ORD-1479 </t>
  </si>
  <si>
    <t xml:space="preserve">ORD-1480 </t>
  </si>
  <si>
    <t xml:space="preserve">ORD-1481 </t>
  </si>
  <si>
    <t xml:space="preserve">ORD-1482 </t>
  </si>
  <si>
    <t xml:space="preserve">ORD-1483 </t>
  </si>
  <si>
    <t xml:space="preserve">ORD-1484 </t>
  </si>
  <si>
    <t xml:space="preserve">ORD-1485 </t>
  </si>
  <si>
    <t xml:space="preserve">ORD-1486 </t>
  </si>
  <si>
    <t xml:space="preserve">ORD-1487 </t>
  </si>
  <si>
    <t xml:space="preserve">ORD-1488 </t>
  </si>
  <si>
    <t xml:space="preserve">ORD-1489 </t>
  </si>
  <si>
    <t xml:space="preserve">ORD-1490 </t>
  </si>
  <si>
    <t xml:space="preserve">ORD-1491 </t>
  </si>
  <si>
    <t xml:space="preserve">ORD-1492 </t>
  </si>
  <si>
    <t xml:space="preserve">ORD-1493 </t>
  </si>
  <si>
    <t xml:space="preserve">ORD-1494 </t>
  </si>
  <si>
    <t xml:space="preserve">ORD-1495 </t>
  </si>
  <si>
    <t xml:space="preserve">ORD-1496 </t>
  </si>
  <si>
    <t xml:space="preserve">ORD-1497 </t>
  </si>
  <si>
    <t xml:space="preserve">ORD-1498 </t>
  </si>
  <si>
    <t xml:space="preserve">ORD-1499 </t>
  </si>
  <si>
    <t>10-17-2023</t>
  </si>
  <si>
    <t>2022/08/12</t>
  </si>
  <si>
    <t>2022/10/12</t>
  </si>
  <si>
    <t>22-03-2022</t>
  </si>
  <si>
    <t>01-25-2023</t>
  </si>
  <si>
    <t>17-01-2024</t>
  </si>
  <si>
    <t>04-08-2023</t>
  </si>
  <si>
    <t>13-08-2022</t>
  </si>
  <si>
    <t>2022/09/15</t>
  </si>
  <si>
    <t>06-15-2024</t>
  </si>
  <si>
    <t>2024/03/08</t>
  </si>
  <si>
    <t>02-18-2024</t>
  </si>
  <si>
    <t>19-11-2023</t>
  </si>
  <si>
    <t>2023/10/09</t>
  </si>
  <si>
    <t>2024/03/14</t>
  </si>
  <si>
    <t>2022/12/14</t>
  </si>
  <si>
    <t>2023/10/30</t>
  </si>
  <si>
    <t>2022/09/29</t>
  </si>
  <si>
    <t>02-21-2022</t>
  </si>
  <si>
    <t>05-03-2022</t>
  </si>
  <si>
    <t>29-09-2022</t>
  </si>
  <si>
    <t>09-29-2022</t>
  </si>
  <si>
    <t>04-17-2022</t>
  </si>
  <si>
    <t>16-05-2023</t>
  </si>
  <si>
    <t>01-10-2022</t>
  </si>
  <si>
    <t>2024/03/26</t>
  </si>
  <si>
    <t>02-27-2023</t>
  </si>
  <si>
    <t>25-12-2022</t>
  </si>
  <si>
    <t>2022/04/29</t>
  </si>
  <si>
    <t>08-14-2023</t>
  </si>
  <si>
    <t>2022/11/18</t>
  </si>
  <si>
    <t>06-02-2024</t>
  </si>
  <si>
    <t>11-23-2023</t>
  </si>
  <si>
    <t>05-04-2024</t>
  </si>
  <si>
    <t>02-14-2023</t>
  </si>
  <si>
    <t>2022/05/17</t>
  </si>
  <si>
    <t>01-02-2024</t>
  </si>
  <si>
    <t>24-11-2022</t>
  </si>
  <si>
    <t>02-05-2024</t>
  </si>
  <si>
    <t>2022/08/13</t>
  </si>
  <si>
    <t>2023/10/21</t>
  </si>
  <si>
    <t>04-05-2024</t>
  </si>
  <si>
    <t>2022/06/06</t>
  </si>
  <si>
    <t>21-04-2022</t>
  </si>
  <si>
    <t>09-07-2023</t>
  </si>
  <si>
    <t>10-13-2023</t>
  </si>
  <si>
    <t>2022/10/13</t>
  </si>
  <si>
    <t>10-14-2022</t>
  </si>
  <si>
    <t>2023/12/30</t>
  </si>
  <si>
    <t>12-21-2023</t>
  </si>
  <si>
    <t>2024/01/12</t>
  </si>
  <si>
    <t>07-21-2023</t>
  </si>
  <si>
    <t>16-09-2022</t>
  </si>
  <si>
    <t>2023/07/26</t>
  </si>
  <si>
    <t>01-28-2024</t>
  </si>
  <si>
    <t>2022/02/03</t>
  </si>
  <si>
    <t>06-02-2022</t>
  </si>
  <si>
    <t>2023/02/17</t>
  </si>
  <si>
    <t>06-05-2024</t>
  </si>
  <si>
    <t>23-03-2023</t>
  </si>
  <si>
    <t>2023/07/18</t>
  </si>
  <si>
    <t>15-06-2023</t>
  </si>
  <si>
    <t>16-09-2023</t>
  </si>
  <si>
    <t>2023/12/24</t>
  </si>
  <si>
    <t>03-02-2024</t>
  </si>
  <si>
    <t>07-12-2022</t>
  </si>
  <si>
    <t>30-04-2023</t>
  </si>
  <si>
    <t>2023/06/23</t>
  </si>
  <si>
    <t>22-05-2024</t>
  </si>
  <si>
    <t>11-04-2022</t>
  </si>
  <si>
    <t>02-26-2023</t>
  </si>
  <si>
    <t>18-09-2022</t>
  </si>
  <si>
    <t>09-14-2022</t>
  </si>
  <si>
    <t>2022/01/09</t>
  </si>
  <si>
    <t>14-09-2022</t>
  </si>
  <si>
    <t>2024/02/05</t>
  </si>
  <si>
    <t>2023/04/25</t>
  </si>
  <si>
    <t>2024/02/06</t>
  </si>
  <si>
    <t>06-03-2022</t>
  </si>
  <si>
    <t>04-10-2023</t>
  </si>
  <si>
    <t>2023/02/22</t>
  </si>
  <si>
    <t>2022/07/14</t>
  </si>
  <si>
    <t>10-08-2022</t>
  </si>
  <si>
    <t>01-16-2022</t>
  </si>
  <si>
    <t>01-06-2023</t>
  </si>
  <si>
    <t>13-03-2023</t>
  </si>
  <si>
    <t>02-06-2023</t>
  </si>
  <si>
    <t>03-02-2023</t>
  </si>
  <si>
    <t>02-02-2024</t>
  </si>
  <si>
    <t>07-09-2023</t>
  </si>
  <si>
    <t>08-20-2022</t>
  </si>
  <si>
    <t>12-26-2022</t>
  </si>
  <si>
    <t>16-12-2022</t>
  </si>
  <si>
    <t>30-03-2023</t>
  </si>
  <si>
    <t>2023/11/15</t>
  </si>
  <si>
    <t>05-25-2023</t>
  </si>
  <si>
    <t>21-03-2022</t>
  </si>
  <si>
    <t>2023/03/24</t>
  </si>
  <si>
    <t>2023/06/07</t>
  </si>
  <si>
    <t>2023/03/29</t>
  </si>
  <si>
    <t>09-01-2023</t>
  </si>
  <si>
    <t>2023/04/07</t>
  </si>
  <si>
    <t>02-01-2023</t>
  </si>
  <si>
    <t>11-11-2023</t>
  </si>
  <si>
    <t>2023/12/21</t>
  </si>
  <si>
    <t>2022/06/08</t>
  </si>
  <si>
    <t>01-05-2024</t>
  </si>
  <si>
    <t>2024/04/08</t>
  </si>
  <si>
    <t>05-22-2022</t>
  </si>
  <si>
    <t>06-04-2023</t>
  </si>
  <si>
    <t>2023/01/19</t>
  </si>
  <si>
    <t>2022/01/20</t>
  </si>
  <si>
    <t>03-23-2024</t>
  </si>
  <si>
    <t>22-09-2023</t>
  </si>
  <si>
    <t>14-07-2023</t>
  </si>
  <si>
    <t>03-21-2024</t>
  </si>
  <si>
    <t>2022/02/18</t>
  </si>
  <si>
    <t>15-01-2024</t>
  </si>
  <si>
    <t>2024/01/05</t>
  </si>
  <si>
    <t>10-06-2023</t>
  </si>
  <si>
    <t>2023/04/06</t>
  </si>
  <si>
    <t>07-10-2022</t>
  </si>
  <si>
    <t>2022/05/06</t>
  </si>
  <si>
    <t>2023/12/28</t>
  </si>
  <si>
    <t>2022/03/30</t>
  </si>
  <si>
    <t>23-04-2023</t>
  </si>
  <si>
    <t>2022/06/18</t>
  </si>
  <si>
    <t>07-01-2023</t>
  </si>
  <si>
    <t>16-02-2022</t>
  </si>
  <si>
    <t>2022/09/08</t>
  </si>
  <si>
    <t>31-05-2024</t>
  </si>
  <si>
    <t>19-06-2024</t>
  </si>
  <si>
    <t>2023/09/04</t>
  </si>
  <si>
    <t>07-30-2023</t>
  </si>
  <si>
    <t>01-18-2023</t>
  </si>
  <si>
    <t>2023/06/16</t>
  </si>
  <si>
    <t>2024/04/28</t>
  </si>
  <si>
    <t>12-06-2024</t>
  </si>
  <si>
    <t>10-08-2023</t>
  </si>
  <si>
    <t>22-05-2022</t>
  </si>
  <si>
    <t>05-11-2023</t>
  </si>
  <si>
    <t>2023/07/28</t>
  </si>
  <si>
    <t>03-29-2023</t>
  </si>
  <si>
    <t>28-06-2023</t>
  </si>
  <si>
    <t>29-10-2023</t>
  </si>
  <si>
    <t>02-07-2022</t>
  </si>
  <si>
    <t>2024/05/21</t>
  </si>
  <si>
    <t>05-08-2023</t>
  </si>
  <si>
    <t>09-12-2022</t>
  </si>
  <si>
    <t>11-15-2023</t>
  </si>
  <si>
    <t>06-06-2022</t>
  </si>
  <si>
    <t>12-22-2023</t>
  </si>
  <si>
    <t>2023/08/21</t>
  </si>
  <si>
    <t>2022/01/23</t>
  </si>
  <si>
    <t>2023/02/23</t>
  </si>
  <si>
    <t>30-05-2024</t>
  </si>
  <si>
    <t>01-24-2023</t>
  </si>
  <si>
    <t>31-07-2022</t>
  </si>
  <si>
    <t>2023/05/31</t>
  </si>
  <si>
    <t>2022/03/04</t>
  </si>
  <si>
    <t>21-01-2023</t>
  </si>
  <si>
    <t>09-06-2022</t>
  </si>
  <si>
    <t>2022/07/12</t>
  </si>
  <si>
    <t>02-12-2024</t>
  </si>
  <si>
    <t>2022/09/25</t>
  </si>
  <si>
    <t>25-09-2022</t>
  </si>
  <si>
    <t>2024/02/21</t>
  </si>
  <si>
    <t>04-02-2022</t>
  </si>
  <si>
    <t>03-03-2022</t>
  </si>
  <si>
    <t>10-21-2022</t>
  </si>
  <si>
    <t>03-25-2024</t>
  </si>
  <si>
    <t>2023/02/20</t>
  </si>
  <si>
    <t>2024/04/20</t>
  </si>
  <si>
    <t>02-03-2024</t>
  </si>
  <si>
    <t>05-18-2023</t>
  </si>
  <si>
    <t>17-03-2022</t>
  </si>
  <si>
    <t>16-05-2022</t>
  </si>
  <si>
    <t>13-01-2022</t>
  </si>
  <si>
    <t>2022/05/30</t>
  </si>
  <si>
    <t>2022/04/20</t>
  </si>
  <si>
    <t>12-13-2023</t>
  </si>
  <si>
    <t>01-09-2023</t>
  </si>
  <si>
    <t>12-03-2022</t>
  </si>
  <si>
    <t>02-15-2023</t>
  </si>
  <si>
    <t>2023/11/12</t>
  </si>
  <si>
    <t>2024/02/04</t>
  </si>
  <si>
    <t>2022/04/18</t>
  </si>
  <si>
    <t>01-10-2024</t>
  </si>
  <si>
    <t>13-06-2022</t>
  </si>
  <si>
    <t>01-05-2022</t>
  </si>
  <si>
    <t>18-11-2023</t>
  </si>
  <si>
    <t>2023/08/28</t>
  </si>
  <si>
    <t>2023/01/28</t>
  </si>
  <si>
    <t>2022/01/10</t>
  </si>
  <si>
    <t>2023/08/02</t>
  </si>
  <si>
    <t>2024/03/04</t>
  </si>
  <si>
    <t>09-27-2022</t>
  </si>
  <si>
    <t>2024/04/13</t>
  </si>
  <si>
    <t>02-08-2024</t>
  </si>
  <si>
    <t>10-10-2023</t>
  </si>
  <si>
    <t>2022/01/03</t>
  </si>
  <si>
    <t>12-12-2022</t>
  </si>
  <si>
    <t>2023/03/28</t>
  </si>
  <si>
    <t>10-27-2023</t>
  </si>
  <si>
    <t>2022/08/20</t>
  </si>
  <si>
    <t>26-12-2022</t>
  </si>
  <si>
    <t>03-16-2023</t>
  </si>
  <si>
    <t>01-13-2022</t>
  </si>
  <si>
    <t>09-26-2022</t>
  </si>
  <si>
    <t>03-27-2022</t>
  </si>
  <si>
    <t>09-08-2022</t>
  </si>
  <si>
    <t>05-24-2023</t>
  </si>
  <si>
    <t>2023/06/21</t>
  </si>
  <si>
    <t>2024/05/28</t>
  </si>
  <si>
    <t>2022/08/17</t>
  </si>
  <si>
    <t>2022/10/26</t>
  </si>
  <si>
    <t>01-25-2022</t>
  </si>
  <si>
    <t>01-09-2022</t>
  </si>
  <si>
    <t>2022/04/08</t>
  </si>
  <si>
    <t>12-19-2023</t>
  </si>
  <si>
    <t>2023/02/21</t>
  </si>
  <si>
    <t>05-05-2024</t>
  </si>
  <si>
    <t>24-08-2023</t>
  </si>
  <si>
    <t>20-03-2023</t>
  </si>
  <si>
    <t>2022/10/30</t>
  </si>
  <si>
    <t>2024/03/11</t>
  </si>
  <si>
    <t>10-04-2024</t>
  </si>
  <si>
    <t>07-26-2022</t>
  </si>
  <si>
    <t>11-10-2023</t>
  </si>
  <si>
    <t>13-11-2023</t>
  </si>
  <si>
    <t>2022/08/15</t>
  </si>
  <si>
    <t>2022/08/03</t>
  </si>
  <si>
    <t>20-01-2023</t>
  </si>
  <si>
    <t>06-24-2022</t>
  </si>
  <si>
    <t>03-21-2023</t>
  </si>
  <si>
    <t>2022/02/20</t>
  </si>
  <si>
    <t>2022/07/31</t>
  </si>
  <si>
    <t>15-01-2023</t>
  </si>
  <si>
    <t>2023/11/16</t>
  </si>
  <si>
    <t>11-03-2022</t>
  </si>
  <si>
    <t>04-07-2024</t>
  </si>
  <si>
    <t>02-02-2023</t>
  </si>
  <si>
    <t>01-06-2022</t>
  </si>
  <si>
    <t>05-13-2023</t>
  </si>
  <si>
    <t>2024/02/03</t>
  </si>
  <si>
    <t>2024/04/25</t>
  </si>
  <si>
    <t>15-11-2022</t>
  </si>
  <si>
    <t>23-12-2023</t>
  </si>
  <si>
    <t>06-10-2024</t>
  </si>
  <si>
    <t>03-09-2024</t>
  </si>
  <si>
    <t>2024/03/31</t>
  </si>
  <si>
    <t>06-18-2023</t>
  </si>
  <si>
    <t>11-10-2022</t>
  </si>
  <si>
    <t>01-27-2022</t>
  </si>
  <si>
    <t>2023/01/03</t>
  </si>
  <si>
    <t>2022/04/02</t>
  </si>
  <si>
    <t>02-24-2022</t>
  </si>
  <si>
    <t>07-25-2022</t>
  </si>
  <si>
    <t>2023/10/12</t>
  </si>
  <si>
    <t>2023/03/16</t>
  </si>
  <si>
    <t>12-12-2023</t>
  </si>
  <si>
    <t>2023/12/05</t>
  </si>
  <si>
    <t>2023/06/01</t>
  </si>
  <si>
    <t>2024/05/06</t>
  </si>
  <si>
    <t>07-03-2023</t>
  </si>
  <si>
    <t>2023/05/25</t>
  </si>
  <si>
    <t>29-08-2022</t>
  </si>
  <si>
    <t>2022/10/31</t>
  </si>
  <si>
    <t>2024/05/22</t>
  </si>
  <si>
    <t>04-13-2023</t>
  </si>
  <si>
    <t>11-26-2023</t>
  </si>
  <si>
    <t>21-12-2022</t>
  </si>
  <si>
    <t>04-09-2022</t>
  </si>
  <si>
    <t>11-20-2022</t>
  </si>
  <si>
    <t>11-19-2023</t>
  </si>
  <si>
    <t>04-10-2022</t>
  </si>
  <si>
    <t>04-07-2023</t>
  </si>
  <si>
    <t>08-16-2023</t>
  </si>
  <si>
    <t>10-29-2022</t>
  </si>
  <si>
    <t>2023/08/08</t>
  </si>
  <si>
    <t>04-13-2024</t>
  </si>
  <si>
    <t>01-02-2023</t>
  </si>
  <si>
    <t>01-13-2024</t>
  </si>
  <si>
    <t>28-09-2022</t>
  </si>
  <si>
    <t>19-03-2024</t>
  </si>
  <si>
    <t>12-24-2022</t>
  </si>
  <si>
    <t>02-04-2024</t>
  </si>
  <si>
    <t>11-18-2023</t>
  </si>
  <si>
    <t>06-12-2022</t>
  </si>
  <si>
    <t>03-16-2024</t>
  </si>
  <si>
    <t>10-30-2022</t>
  </si>
  <si>
    <t>07-15-2023</t>
  </si>
  <si>
    <t>28-04-2022</t>
  </si>
  <si>
    <t>18-08-2023</t>
  </si>
  <si>
    <t>2023/08/22</t>
  </si>
  <si>
    <t>27-11-2023</t>
  </si>
  <si>
    <t>01-22-2024</t>
  </si>
  <si>
    <t>2023/07/07</t>
  </si>
  <si>
    <t>11-01-2022</t>
  </si>
  <si>
    <t>11-02-2022</t>
  </si>
  <si>
    <t>09-15-2022</t>
  </si>
  <si>
    <t>11-06-2023</t>
  </si>
  <si>
    <t>08-04-2022</t>
  </si>
  <si>
    <t>06-20-2022</t>
  </si>
  <si>
    <t>23-01-2023</t>
  </si>
  <si>
    <t>05-31-2023</t>
  </si>
  <si>
    <t>06-27-2023</t>
  </si>
  <si>
    <t>08-27-2022</t>
  </si>
  <si>
    <t>11-02-2023</t>
  </si>
  <si>
    <t>10-10-2022</t>
  </si>
  <si>
    <t>12-24-2023</t>
  </si>
  <si>
    <t>2023/09/21</t>
  </si>
  <si>
    <t>2022/03/23</t>
  </si>
  <si>
    <t>20-05-2024</t>
  </si>
  <si>
    <t>01-01-2022</t>
  </si>
  <si>
    <t>29-04-2024</t>
  </si>
  <si>
    <t>2023/06/03</t>
  </si>
  <si>
    <t>2022/09/07</t>
  </si>
  <si>
    <t>2023/02/27</t>
  </si>
  <si>
    <t>12-08-2022</t>
  </si>
  <si>
    <t>12-31-2022</t>
  </si>
  <si>
    <t>2022/07/07</t>
  </si>
  <si>
    <t>04-05-2022</t>
  </si>
  <si>
    <t>10-03-2022</t>
  </si>
  <si>
    <t>2022/05/15</t>
  </si>
  <si>
    <t>03-08-2023</t>
  </si>
  <si>
    <t>08-09-2022</t>
  </si>
  <si>
    <t>2024/06/07</t>
  </si>
  <si>
    <t>2023/01/26</t>
  </si>
  <si>
    <t>2022/06/15</t>
  </si>
  <si>
    <t>2024/05/24</t>
  </si>
  <si>
    <t>2024/02/29</t>
  </si>
  <si>
    <t>06-24-2023</t>
  </si>
  <si>
    <t>09-04-2023</t>
  </si>
  <si>
    <t>29-03-2023</t>
  </si>
  <si>
    <t>05-04-2023</t>
  </si>
  <si>
    <t>01-03-2024</t>
  </si>
  <si>
    <t>07-06-2022</t>
  </si>
  <si>
    <t>23-01-2022</t>
  </si>
  <si>
    <t>2023/01/16</t>
  </si>
  <si>
    <t>28-04-2024</t>
  </si>
  <si>
    <t>2023/02/03</t>
  </si>
  <si>
    <t>08-12-2022</t>
  </si>
  <si>
    <t>2023/09/03</t>
  </si>
  <si>
    <t>15-05-2023</t>
  </si>
  <si>
    <t>12-25-2023</t>
  </si>
  <si>
    <t>06-28-2023</t>
  </si>
  <si>
    <t>09-28-2023</t>
  </si>
  <si>
    <t>26-11-2022</t>
  </si>
  <si>
    <t>20-10-2023</t>
  </si>
  <si>
    <t>25-04-2023</t>
  </si>
  <si>
    <t>19-04-2022</t>
  </si>
  <si>
    <t>24-02-2024</t>
  </si>
  <si>
    <t>01-07-2022</t>
  </si>
  <si>
    <t>2022/12/31</t>
  </si>
  <si>
    <t>2022/11/29</t>
  </si>
  <si>
    <t>12-09-2022</t>
  </si>
  <si>
    <t>02-12-2022</t>
  </si>
  <si>
    <t>16-12-2023</t>
  </si>
  <si>
    <t>2024/03/06</t>
  </si>
  <si>
    <t>09-11-2022</t>
  </si>
  <si>
    <t>28-01-2024</t>
  </si>
  <si>
    <t>07-05-2023</t>
  </si>
  <si>
    <t>20-01-2022</t>
  </si>
  <si>
    <t>2023/04/14</t>
  </si>
  <si>
    <t>2023/05/29</t>
  </si>
  <si>
    <t>18-01-2024</t>
  </si>
  <si>
    <t>10-31-2023</t>
  </si>
  <si>
    <t>2022/03/11</t>
  </si>
  <si>
    <t>03-08-2024</t>
  </si>
  <si>
    <t>03-14-2023</t>
  </si>
  <si>
    <t>27-04-2024</t>
  </si>
  <si>
    <t>08-03-2024</t>
  </si>
  <si>
    <t>28-11-2022</t>
  </si>
  <si>
    <t>26-02-2024</t>
  </si>
  <si>
    <t>11-08-2022</t>
  </si>
  <si>
    <t>26-02-2022</t>
  </si>
  <si>
    <t>08-11-2023</t>
  </si>
  <si>
    <t>2023/03/14</t>
  </si>
  <si>
    <t>2023/08/09</t>
  </si>
  <si>
    <t>03-01-2023</t>
  </si>
  <si>
    <t>07-01-2022</t>
  </si>
  <si>
    <t>2022/05/20</t>
  </si>
  <si>
    <t>2023/08/15</t>
  </si>
  <si>
    <t>2022/11/12</t>
  </si>
  <si>
    <t>14-03-2024</t>
  </si>
  <si>
    <t>02-27-2024</t>
  </si>
  <si>
    <t>2023/04/24</t>
  </si>
  <si>
    <t>11-23-2022</t>
  </si>
  <si>
    <t>2022/11/23</t>
  </si>
  <si>
    <t>04-28-2023</t>
  </si>
  <si>
    <t>08-26-2022</t>
  </si>
  <si>
    <t>26-04-2022</t>
  </si>
  <si>
    <t>2023/06/30</t>
  </si>
  <si>
    <t>06-30-2022</t>
  </si>
  <si>
    <t>31-05-2022</t>
  </si>
  <si>
    <t>08-20-2023</t>
  </si>
  <si>
    <t>2022/08/29</t>
  </si>
  <si>
    <t>07-23-2023</t>
  </si>
  <si>
    <t>2022/03/28</t>
  </si>
  <si>
    <t>01-13-2023</t>
  </si>
  <si>
    <t>2023/04/29</t>
  </si>
  <si>
    <t>23-06-2022</t>
  </si>
  <si>
    <t>10-15-2022</t>
  </si>
  <si>
    <t>12-03-2024</t>
  </si>
  <si>
    <t>2023/11/08</t>
  </si>
  <si>
    <t>05-03-2023</t>
  </si>
  <si>
    <t>2023/12/01</t>
  </si>
  <si>
    <t>2022/01/13</t>
  </si>
  <si>
    <t>2023/02/02</t>
  </si>
  <si>
    <t>28-05-2022</t>
  </si>
  <si>
    <t>2023/03/23</t>
  </si>
  <si>
    <t>2022/02/26</t>
  </si>
  <si>
    <t>2023/12/14</t>
  </si>
  <si>
    <t>02-05-2022</t>
  </si>
  <si>
    <t>2023/09/26</t>
  </si>
  <si>
    <t>04-27-2022</t>
  </si>
  <si>
    <t>13-04-2022</t>
  </si>
  <si>
    <t>10-05-2022</t>
  </si>
  <si>
    <t>04-01-2022</t>
  </si>
  <si>
    <t>15-09-2022</t>
  </si>
  <si>
    <t>2023/08/17</t>
  </si>
  <si>
    <t>08-14-2022</t>
  </si>
  <si>
    <t>18-07-2022</t>
  </si>
  <si>
    <t>30-10-2022</t>
  </si>
  <si>
    <t>04-30-2023</t>
  </si>
  <si>
    <t>27-04-2023</t>
  </si>
  <si>
    <t>02-20-2023</t>
  </si>
  <si>
    <t>09-20-2023</t>
  </si>
  <si>
    <t>01-10-2023</t>
  </si>
  <si>
    <t>2023/05/05</t>
  </si>
  <si>
    <t>12-20-2022</t>
  </si>
  <si>
    <t>2023/10/05</t>
  </si>
  <si>
    <t>03-07-2023</t>
  </si>
  <si>
    <t>07-30-2022</t>
  </si>
  <si>
    <t>02-26-2024</t>
  </si>
  <si>
    <t>07-12-2023</t>
  </si>
  <si>
    <t>2022/12/26</t>
  </si>
  <si>
    <t>01-08-2022</t>
  </si>
  <si>
    <t>19-04-2023</t>
  </si>
  <si>
    <t>2022/01/28</t>
  </si>
  <si>
    <t>2022/10/11</t>
  </si>
  <si>
    <t>2022/06/16</t>
  </si>
  <si>
    <t>27-06-2023</t>
  </si>
  <si>
    <t>2023/07/02</t>
  </si>
  <si>
    <t>08-15-2022</t>
  </si>
  <si>
    <t>2023/05/07</t>
  </si>
  <si>
    <t>2022/05/12</t>
  </si>
  <si>
    <t>2022/07/21</t>
  </si>
  <si>
    <t>09-09-2023</t>
  </si>
  <si>
    <t>2023/08/07</t>
  </si>
  <si>
    <t>2023/12/16</t>
  </si>
  <si>
    <t>11-18-2022</t>
  </si>
  <si>
    <t>2023/04/13</t>
  </si>
  <si>
    <t>2022/01/14</t>
  </si>
  <si>
    <t>2023/01/08</t>
  </si>
  <si>
    <t>2023-10-19</t>
  </si>
  <si>
    <t>2022-08-16</t>
  </si>
  <si>
    <t>2022-10-15</t>
  </si>
  <si>
    <t>2022-03-31</t>
  </si>
  <si>
    <t>2023-01-30</t>
  </si>
  <si>
    <t>2024-01-21</t>
  </si>
  <si>
    <t>2023-08-10</t>
  </si>
  <si>
    <t>2022-09-24</t>
  </si>
  <si>
    <t>2024-06-20</t>
  </si>
  <si>
    <t>2024-03-17</t>
  </si>
  <si>
    <t>2024-02-27</t>
  </si>
  <si>
    <t>2023-11-25</t>
  </si>
  <si>
    <t>2023-10-10</t>
  </si>
  <si>
    <t>2024-03-22</t>
  </si>
  <si>
    <t>2022-12-16</t>
  </si>
  <si>
    <t>2023-11-08</t>
  </si>
  <si>
    <t>2022-10-07</t>
  </si>
  <si>
    <t>2022-03-03</t>
  </si>
  <si>
    <t>2022-05-13</t>
  </si>
  <si>
    <t>2022-10-06</t>
  </si>
  <si>
    <t>2022-10-02</t>
  </si>
  <si>
    <t>2022-04-20</t>
  </si>
  <si>
    <t>2023-05-21</t>
  </si>
  <si>
    <t>2022-01-12</t>
  </si>
  <si>
    <t>2024-03-27</t>
  </si>
  <si>
    <t>2023-02-28</t>
  </si>
  <si>
    <t>2022-12-30</t>
  </si>
  <si>
    <t>2022-05-04</t>
  </si>
  <si>
    <t>2023-08-18</t>
  </si>
  <si>
    <t>2022-11-20</t>
  </si>
  <si>
    <t>2024-02-09</t>
  </si>
  <si>
    <t>2023-11-27</t>
  </si>
  <si>
    <t>2024-04-09</t>
  </si>
  <si>
    <t>2023-02-18</t>
  </si>
  <si>
    <t>2022-05-25</t>
  </si>
  <si>
    <t>2022-12-03</t>
  </si>
  <si>
    <t>2024-05-09</t>
  </si>
  <si>
    <t>2022-08-18</t>
  </si>
  <si>
    <t>2023-10-28</t>
  </si>
  <si>
    <t>2024-05-06</t>
  </si>
  <si>
    <t>2022-06-10</t>
  </si>
  <si>
    <t>2022-05-01</t>
  </si>
  <si>
    <t>2023-09-09</t>
  </si>
  <si>
    <t>2023-10-21</t>
  </si>
  <si>
    <t>2022-10-21</t>
  </si>
  <si>
    <t>2022-10-24</t>
  </si>
  <si>
    <t>2024-01-07</t>
  </si>
  <si>
    <t>2023-12-29</t>
  </si>
  <si>
    <t>2024-01-22</t>
  </si>
  <si>
    <t>2023-07-26</t>
  </si>
  <si>
    <t>2023-08-02</t>
  </si>
  <si>
    <t>2024-01-30</t>
  </si>
  <si>
    <t>2022-02-07</t>
  </si>
  <si>
    <t>2022-06-07</t>
  </si>
  <si>
    <t>2023-02-22</t>
  </si>
  <si>
    <t>2024-05-16</t>
  </si>
  <si>
    <t>2023-03-31</t>
  </si>
  <si>
    <t>2023-07-19</t>
  </si>
  <si>
    <t>2023-06-21</t>
  </si>
  <si>
    <t>2023-09-20</t>
  </si>
  <si>
    <t>2024-03-09</t>
  </si>
  <si>
    <t>2023-05-07</t>
  </si>
  <si>
    <t>2023-07-01</t>
  </si>
  <si>
    <t>2024-05-31</t>
  </si>
  <si>
    <t>2022-04-13</t>
  </si>
  <si>
    <t>2023-03-08</t>
  </si>
  <si>
    <t>2022-09-26</t>
  </si>
  <si>
    <t>2022-09-22</t>
  </si>
  <si>
    <t>2022-01-19</t>
  </si>
  <si>
    <t>2022-09-17</t>
  </si>
  <si>
    <t>2024-02-12</t>
  </si>
  <si>
    <t>2023-04-27</t>
  </si>
  <si>
    <t>2024-02-11</t>
  </si>
  <si>
    <t>2022-03-14</t>
  </si>
  <si>
    <t>2023-04-16</t>
  </si>
  <si>
    <t>2023-02-27</t>
  </si>
  <si>
    <t>2022-07-16</t>
  </si>
  <si>
    <t>2022-08-14</t>
  </si>
  <si>
    <t>2022-01-22</t>
  </si>
  <si>
    <t>2023-01-15</t>
  </si>
  <si>
    <t>2023-03-15</t>
  </si>
  <si>
    <t>2023-06-12</t>
  </si>
  <si>
    <t>2023-03-04</t>
  </si>
  <si>
    <t>2024-02-08</t>
  </si>
  <si>
    <t>2023-09-12</t>
  </si>
  <si>
    <t>2022-08-27</t>
  </si>
  <si>
    <t>2022-12-27</t>
  </si>
  <si>
    <t>2022-12-19</t>
  </si>
  <si>
    <t>2023-04-06</t>
  </si>
  <si>
    <t>2023-11-20</t>
  </si>
  <si>
    <t>2023-06-01</t>
  </si>
  <si>
    <t>2022-03-27</t>
  </si>
  <si>
    <t>2023-03-26</t>
  </si>
  <si>
    <t>2023-06-11</t>
  </si>
  <si>
    <t>2024-03-10</t>
  </si>
  <si>
    <t>2023-04-03</t>
  </si>
  <si>
    <t>2023-09-10</t>
  </si>
  <si>
    <t>2023-04-09</t>
  </si>
  <si>
    <t>2023-02-08</t>
  </si>
  <si>
    <t>2023-11-14</t>
  </si>
  <si>
    <t>2023-12-30</t>
  </si>
  <si>
    <t>2024-05-11</t>
  </si>
  <si>
    <t>2024-04-16</t>
  </si>
  <si>
    <t>2022-05-27</t>
  </si>
  <si>
    <t>2023-04-15</t>
  </si>
  <si>
    <t>2023-01-23</t>
  </si>
  <si>
    <t>2022-01-25</t>
  </si>
  <si>
    <t>2024-04-02</t>
  </si>
  <si>
    <t>2023-09-28</t>
  </si>
  <si>
    <t>2023-10-20</t>
  </si>
  <si>
    <t>2023-07-20</t>
  </si>
  <si>
    <t>2024-03-25</t>
  </si>
  <si>
    <t>2022-02-24</t>
  </si>
  <si>
    <t>2024-01-12</t>
  </si>
  <si>
    <t>2023-06-13</t>
  </si>
  <si>
    <t>2023-04-12</t>
  </si>
  <si>
    <t>2022-07-18</t>
  </si>
  <si>
    <t>2022-05-09</t>
  </si>
  <si>
    <t>2023-12-31</t>
  </si>
  <si>
    <t>2022-04-01</t>
  </si>
  <si>
    <t>2023-05-02</t>
  </si>
  <si>
    <t>2022-06-21</t>
  </si>
  <si>
    <t>2023-07-03</t>
  </si>
  <si>
    <t>2022-02-26</t>
  </si>
  <si>
    <t>2022-09-15</t>
  </si>
  <si>
    <t>2024-06-06</t>
  </si>
  <si>
    <t>2024-06-24</t>
  </si>
  <si>
    <t>2023-08-03</t>
  </si>
  <si>
    <t>2023-01-24</t>
  </si>
  <si>
    <t>2023-06-24</t>
  </si>
  <si>
    <t>2024-05-07</t>
  </si>
  <si>
    <t>2024-06-13</t>
  </si>
  <si>
    <t>2023-08-12</t>
  </si>
  <si>
    <t>2022-05-31</t>
  </si>
  <si>
    <t>2023-05-15</t>
  </si>
  <si>
    <t>2023-07-02</t>
  </si>
  <si>
    <t>2023-11-02</t>
  </si>
  <si>
    <t>2022-02-14</t>
  </si>
  <si>
    <t>2024-05-30</t>
  </si>
  <si>
    <t>2023-08-09</t>
  </si>
  <si>
    <t>2022-09-13</t>
  </si>
  <si>
    <t>2023-11-17</t>
  </si>
  <si>
    <t>2022-06-14</t>
  </si>
  <si>
    <t>2023-12-28</t>
  </si>
  <si>
    <t>2023-08-29</t>
  </si>
  <si>
    <t>2022-01-30</t>
  </si>
  <si>
    <t>2023-02-26</t>
  </si>
  <si>
    <t>2024-06-05</t>
  </si>
  <si>
    <t>2023-01-28</t>
  </si>
  <si>
    <t>2022-08-02</t>
  </si>
  <si>
    <t>2023-06-05</t>
  </si>
  <si>
    <t>2022-03-13</t>
  </si>
  <si>
    <t>2022-09-11</t>
  </si>
  <si>
    <t>2022-07-22</t>
  </si>
  <si>
    <t>2024-02-20</t>
  </si>
  <si>
    <t>2022-10-01</t>
  </si>
  <si>
    <t>2022-10-04</t>
  </si>
  <si>
    <t>2024-02-29</t>
  </si>
  <si>
    <t>2022-02-06</t>
  </si>
  <si>
    <t>2022-10-22</t>
  </si>
  <si>
    <t>2024-04-01</t>
  </si>
  <si>
    <t>2024-04-27</t>
  </si>
  <si>
    <t>2023-05-22</t>
  </si>
  <si>
    <t>2022-03-19</t>
  </si>
  <si>
    <t>2022-05-18</t>
  </si>
  <si>
    <t>2022-01-18</t>
  </si>
  <si>
    <t>2022-06-01</t>
  </si>
  <si>
    <t>2022-04-23</t>
  </si>
  <si>
    <t>2023-12-17</t>
  </si>
  <si>
    <t>2023-01-11</t>
  </si>
  <si>
    <t>2023-02-24</t>
  </si>
  <si>
    <t>2023-11-18</t>
  </si>
  <si>
    <t>2024-02-13</t>
  </si>
  <si>
    <t>2024-01-18</t>
  </si>
  <si>
    <t>2022-06-19</t>
  </si>
  <si>
    <t>2022-01-09</t>
  </si>
  <si>
    <t>2023-11-26</t>
  </si>
  <si>
    <t>2023-08-30</t>
  </si>
  <si>
    <t>2023-02-04</t>
  </si>
  <si>
    <t>2024-03-13</t>
  </si>
  <si>
    <t>2022-10-03</t>
  </si>
  <si>
    <t>2024-04-17</t>
  </si>
  <si>
    <t>2024-02-15</t>
  </si>
  <si>
    <t>2023-10-15</t>
  </si>
  <si>
    <t>2022-01-05</t>
  </si>
  <si>
    <t>2022-12-21</t>
  </si>
  <si>
    <t>2023-04-05</t>
  </si>
  <si>
    <t>2023-10-30</t>
  </si>
  <si>
    <t>2022-08-29</t>
  </si>
  <si>
    <t>2024-04-07</t>
  </si>
  <si>
    <t>2023-03-22</t>
  </si>
  <si>
    <t>2023-06-25</t>
  </si>
  <si>
    <t>2022-09-30</t>
  </si>
  <si>
    <t>2022-09-10</t>
  </si>
  <si>
    <t>2023-05-30</t>
  </si>
  <si>
    <t>2023-06-23</t>
  </si>
  <si>
    <t>2024-03-04</t>
  </si>
  <si>
    <t>2024-05-29</t>
  </si>
  <si>
    <t>2022-08-26</t>
  </si>
  <si>
    <t>2022-11-05</t>
  </si>
  <si>
    <t>2022-01-29</t>
  </si>
  <si>
    <t>2022-09-08</t>
  </si>
  <si>
    <t>2022-04-17</t>
  </si>
  <si>
    <t>2023-12-25</t>
  </si>
  <si>
    <t>2023-02-23</t>
  </si>
  <si>
    <t>2023-03-27</t>
  </si>
  <si>
    <t>2022-11-07</t>
  </si>
  <si>
    <t>2024-04-15</t>
  </si>
  <si>
    <t>2022-08-23</t>
  </si>
  <si>
    <t>2022-07-20</t>
  </si>
  <si>
    <t>2022-07-29</t>
  </si>
  <si>
    <t>2023-11-23</t>
  </si>
  <si>
    <t>2022-08-25</t>
  </si>
  <si>
    <t>2022-08-07</t>
  </si>
  <si>
    <t>2023-01-22</t>
  </si>
  <si>
    <t>2022-07-01</t>
  </si>
  <si>
    <t>2023-03-24</t>
  </si>
  <si>
    <t>2022-02-27</t>
  </si>
  <si>
    <t>2022-08-03</t>
  </si>
  <si>
    <t>2023-11-22</t>
  </si>
  <si>
    <t>2024-04-11</t>
  </si>
  <si>
    <t>2023-02-11</t>
  </si>
  <si>
    <t>2022-06-11</t>
  </si>
  <si>
    <t>2023-05-23</t>
  </si>
  <si>
    <t>2024-05-01</t>
  </si>
  <si>
    <t>2022-11-24</t>
  </si>
  <si>
    <t>2023-12-27</t>
  </si>
  <si>
    <t>2024-06-18</t>
  </si>
  <si>
    <t>2023-06-28</t>
  </si>
  <si>
    <t>2022-10-17</t>
  </si>
  <si>
    <t>2022-02-04</t>
  </si>
  <si>
    <t>2023-01-12</t>
  </si>
  <si>
    <t>2022-04-06</t>
  </si>
  <si>
    <t>2022-03-06</t>
  </si>
  <si>
    <t>2022-07-31</t>
  </si>
  <si>
    <t>2023-10-13</t>
  </si>
  <si>
    <t>2023-12-18</t>
  </si>
  <si>
    <t>2023-12-08</t>
  </si>
  <si>
    <t>2023-06-04</t>
  </si>
  <si>
    <t>2023-03-09</t>
  </si>
  <si>
    <t>2023-05-29</t>
  </si>
  <si>
    <t>2022-08-30</t>
  </si>
  <si>
    <t>2024-05-25</t>
  </si>
  <si>
    <t>2023-04-18</t>
  </si>
  <si>
    <t>2023-12-04</t>
  </si>
  <si>
    <t>2022-03-11</t>
  </si>
  <si>
    <t>2022-12-28</t>
  </si>
  <si>
    <t>2022-11-22</t>
  </si>
  <si>
    <t>2022-04-14</t>
  </si>
  <si>
    <t>2022-09-28</t>
  </si>
  <si>
    <t>2023-08-19</t>
  </si>
  <si>
    <t>2022-11-06</t>
  </si>
  <si>
    <t>2023-08-15</t>
  </si>
  <si>
    <t>2023-11-19</t>
  </si>
  <si>
    <t>2024-04-21</t>
  </si>
  <si>
    <t>2024-01-17</t>
  </si>
  <si>
    <t>2024-03-29</t>
  </si>
  <si>
    <t>2022-09-14</t>
  </si>
  <si>
    <t>2022-12-07</t>
  </si>
  <si>
    <t>2022-11-21</t>
  </si>
  <si>
    <t>2024-03-21</t>
  </si>
  <si>
    <t>2022-11-02</t>
  </si>
  <si>
    <t>2023-07-17</t>
  </si>
  <si>
    <t>2023-08-26</t>
  </si>
  <si>
    <t>2023-08-25</t>
  </si>
  <si>
    <t>2023-12-03</t>
  </si>
  <si>
    <t>2024-01-24</t>
  </si>
  <si>
    <t>2023-07-15</t>
  </si>
  <si>
    <t>2022-01-15</t>
  </si>
  <si>
    <t>2022-02-15</t>
  </si>
  <si>
    <t>2023-06-16</t>
  </si>
  <si>
    <t>2022-06-25</t>
  </si>
  <si>
    <t>2022-06-28</t>
  </si>
  <si>
    <t>2023-06-02</t>
  </si>
  <si>
    <t>2023-07-04</t>
  </si>
  <si>
    <t>2023-11-06</t>
  </si>
  <si>
    <t>2023-09-22</t>
  </si>
  <si>
    <t>2022-04-02</t>
  </si>
  <si>
    <t>2022-01-04</t>
  </si>
  <si>
    <t>2024-05-08</t>
  </si>
  <si>
    <t>2023-03-05</t>
  </si>
  <si>
    <t>2022-08-22</t>
  </si>
  <si>
    <t>2023-01-03</t>
  </si>
  <si>
    <t>2022-10-11</t>
  </si>
  <si>
    <t>2023-03-16</t>
  </si>
  <si>
    <t>2024-06-17</t>
  </si>
  <si>
    <t>2023-02-05</t>
  </si>
  <si>
    <t>2024-03-07</t>
  </si>
  <si>
    <t>2023-06-27</t>
  </si>
  <si>
    <t>2023-05-09</t>
  </si>
  <si>
    <t>2024-01-10</t>
  </si>
  <si>
    <t>2022-07-09</t>
  </si>
  <si>
    <t>2022-01-26</t>
  </si>
  <si>
    <t>2024-04-29</t>
  </si>
  <si>
    <t>2023-09-06</t>
  </si>
  <si>
    <t>2023-05-19</t>
  </si>
  <si>
    <t>2024-01-02</t>
  </si>
  <si>
    <t>2023-10-02</t>
  </si>
  <si>
    <t>2022-11-28</t>
  </si>
  <si>
    <t>2023-10-27</t>
  </si>
  <si>
    <t>2023-04-26</t>
  </si>
  <si>
    <t>2022-03-25</t>
  </si>
  <si>
    <t>2022-04-29</t>
  </si>
  <si>
    <t>2023-09-15</t>
  </si>
  <si>
    <t>2022-12-15</t>
  </si>
  <si>
    <t>2022-02-18</t>
  </si>
  <si>
    <t>2024-03-23</t>
  </si>
  <si>
    <t>2023-12-19</t>
  </si>
  <si>
    <t>2022-11-12</t>
  </si>
  <si>
    <t>2024-01-29</t>
  </si>
  <si>
    <t>2023-07-09</t>
  </si>
  <si>
    <t>2023-04-23</t>
  </si>
  <si>
    <t>2023-06-03</t>
  </si>
  <si>
    <t>2024-01-25</t>
  </si>
  <si>
    <t>2023-11-03</t>
  </si>
  <si>
    <t>2022-03-20</t>
  </si>
  <si>
    <t>2024-03-12</t>
  </si>
  <si>
    <t>2023-03-21</t>
  </si>
  <si>
    <t>2023-04-14</t>
  </si>
  <si>
    <t>2024-05-02</t>
  </si>
  <si>
    <t>2024-03-18</t>
  </si>
  <si>
    <t>2022-12-01</t>
  </si>
  <si>
    <t>2023-10-07</t>
  </si>
  <si>
    <t>2022-08-21</t>
  </si>
  <si>
    <t>2022-03-04</t>
  </si>
  <si>
    <t>2023-03-23</t>
  </si>
  <si>
    <t>2022-05-28</t>
  </si>
  <si>
    <t>2023-08-21</t>
  </si>
  <si>
    <t>2022-11-18</t>
  </si>
  <si>
    <t>2024-03-15</t>
  </si>
  <si>
    <t>2023-04-25</t>
  </si>
  <si>
    <t>2023-04-29</t>
  </si>
  <si>
    <t>2022-12-11</t>
  </si>
  <si>
    <t>2022-05-02</t>
  </si>
  <si>
    <t>2023-07-08</t>
  </si>
  <si>
    <t>2022-07-05</t>
  </si>
  <si>
    <t>2022-06-03</t>
  </si>
  <si>
    <t>2022-09-05</t>
  </si>
  <si>
    <t>2023-07-30</t>
  </si>
  <si>
    <t>2022-07-17</t>
  </si>
  <si>
    <t>2023-05-01</t>
  </si>
  <si>
    <t>2024-01-28</t>
  </si>
  <si>
    <t>2022-07-03</t>
  </si>
  <si>
    <t>2022-10-20</t>
  </si>
  <si>
    <t>2024-03-16</t>
  </si>
  <si>
    <t>2023-11-16</t>
  </si>
  <si>
    <t>2023-05-12</t>
  </si>
  <si>
    <t>2023-12-02</t>
  </si>
  <si>
    <t>2024-03-06</t>
  </si>
  <si>
    <t>2022-01-20</t>
  </si>
  <si>
    <t>2023-09-05</t>
  </si>
  <si>
    <t>2022-06-06</t>
  </si>
  <si>
    <t>2023-05-28</t>
  </si>
  <si>
    <t>2023-03-30</t>
  </si>
  <si>
    <t>2022-02-28</t>
  </si>
  <si>
    <t>2023-12-21</t>
  </si>
  <si>
    <t>2022-05-06</t>
  </si>
  <si>
    <t>2023-09-27</t>
  </si>
  <si>
    <t>2022-05-05</t>
  </si>
  <si>
    <t>2022-05-14</t>
  </si>
  <si>
    <t>2022-09-21</t>
  </si>
  <si>
    <t>2023-08-23</t>
  </si>
  <si>
    <t>2022-07-24</t>
  </si>
  <si>
    <t>2022-11-09</t>
  </si>
  <si>
    <t>2023-05-08</t>
  </si>
  <si>
    <t>2023-05-06</t>
  </si>
  <si>
    <t>2022-11-03</t>
  </si>
  <si>
    <t>2023-09-29</t>
  </si>
  <si>
    <t>2023-01-18</t>
  </si>
  <si>
    <t>2023-10-06</t>
  </si>
  <si>
    <t>2022-01-27</t>
  </si>
  <si>
    <t>2022-05-21</t>
  </si>
  <si>
    <t>2022-08-08</t>
  </si>
  <si>
    <t>2023-12-09</t>
  </si>
  <si>
    <t>2022-03-08</t>
  </si>
  <si>
    <t>2023-05-24</t>
  </si>
  <si>
    <t>2022-12-31</t>
  </si>
  <si>
    <t>2022-08-06</t>
  </si>
  <si>
    <t>2022-10-19</t>
  </si>
  <si>
    <t>2022-06-26</t>
  </si>
  <si>
    <t>2023-06-29</t>
  </si>
  <si>
    <t>2023-07-12</t>
  </si>
  <si>
    <t>2022-08-19</t>
  </si>
  <si>
    <t>2023-05-13</t>
  </si>
  <si>
    <t>2022-05-15</t>
  </si>
  <si>
    <t>2022-07-23</t>
  </si>
  <si>
    <t>2023-09-13</t>
  </si>
  <si>
    <t>2023-12-26</t>
  </si>
  <si>
    <t>Mohamed Ali</t>
  </si>
  <si>
    <t xml:space="preserve">Mohamed Ali </t>
  </si>
  <si>
    <t xml:space="preserve">John Smith  </t>
  </si>
  <si>
    <t xml:space="preserve">Rahul Kumar  </t>
  </si>
  <si>
    <t>Alice Brown</t>
  </si>
  <si>
    <t xml:space="preserve">Mohamed Ali  </t>
  </si>
  <si>
    <t xml:space="preserve">Sara Lee  </t>
  </si>
  <si>
    <t xml:space="preserve">John Smith </t>
  </si>
  <si>
    <t>Sara Lee</t>
  </si>
  <si>
    <t xml:space="preserve">Alice Brown </t>
  </si>
  <si>
    <t>John Smith</t>
  </si>
  <si>
    <t xml:space="preserve">Alice Brown  </t>
  </si>
  <si>
    <t>Rahul Kumar</t>
  </si>
  <si>
    <t xml:space="preserve">Rahul Kumar </t>
  </si>
  <si>
    <t xml:space="preserve">Sara Lee </t>
  </si>
  <si>
    <t>Home Office</t>
  </si>
  <si>
    <t>Consumer</t>
  </si>
  <si>
    <t>Corporate</t>
  </si>
  <si>
    <t>US</t>
  </si>
  <si>
    <t xml:space="preserve">USA </t>
  </si>
  <si>
    <t>United States</t>
  </si>
  <si>
    <t>USA</t>
  </si>
  <si>
    <t>New York</t>
  </si>
  <si>
    <t>Seattle</t>
  </si>
  <si>
    <t>Phoenix</t>
  </si>
  <si>
    <t>Chicago</t>
  </si>
  <si>
    <t>Houston</t>
  </si>
  <si>
    <t>Miami</t>
  </si>
  <si>
    <t>Los Angeles</t>
  </si>
  <si>
    <t>East</t>
  </si>
  <si>
    <t>South</t>
  </si>
  <si>
    <t>West</t>
  </si>
  <si>
    <t>Central</t>
  </si>
  <si>
    <t>Furniture</t>
  </si>
  <si>
    <t>Office Supplies</t>
  </si>
  <si>
    <t>Technology</t>
  </si>
  <si>
    <t>Bookcases</t>
  </si>
  <si>
    <t>Storage</t>
  </si>
  <si>
    <t>Tables</t>
  </si>
  <si>
    <t>Copiers</t>
  </si>
  <si>
    <t>Paper</t>
  </si>
  <si>
    <t>Binders</t>
  </si>
  <si>
    <t>Chairs</t>
  </si>
  <si>
    <t>Phones</t>
  </si>
  <si>
    <t>Accessories</t>
  </si>
  <si>
    <t>Bookcases Model 6</t>
  </si>
  <si>
    <t>Storage Model 22</t>
  </si>
  <si>
    <t>Tables Model 25</t>
  </si>
  <si>
    <t>Copiers Model 7</t>
  </si>
  <si>
    <t>Copiers Model 35</t>
  </si>
  <si>
    <t>Tables Model 14</t>
  </si>
  <si>
    <t>Bookcases Model 24</t>
  </si>
  <si>
    <t>Paper Model 34</t>
  </si>
  <si>
    <t>Bookcases Model 47</t>
  </si>
  <si>
    <t>Binders Model 35</t>
  </si>
  <si>
    <t>Bookcases Model 5</t>
  </si>
  <si>
    <t>Chairs Model 26</t>
  </si>
  <si>
    <t>Copiers Model 46</t>
  </si>
  <si>
    <t>Chairs Model 16</t>
  </si>
  <si>
    <t>Phones Model 47</t>
  </si>
  <si>
    <t>Chairs Model 4</t>
  </si>
  <si>
    <t>Chairs Model 25</t>
  </si>
  <si>
    <t>Accessories Model 4</t>
  </si>
  <si>
    <t>Copiers Model 26</t>
  </si>
  <si>
    <t>Bookcases Model 16</t>
  </si>
  <si>
    <t>Bookcases Model 33</t>
  </si>
  <si>
    <t>Phones Model 43</t>
  </si>
  <si>
    <t>Phones Model 33</t>
  </si>
  <si>
    <t>Chairs Model 36</t>
  </si>
  <si>
    <t>Phones Model 12</t>
  </si>
  <si>
    <t>Bookcases Model 30</t>
  </si>
  <si>
    <t>Chairs Model 2</t>
  </si>
  <si>
    <t>Bookcases Model 25</t>
  </si>
  <si>
    <t>Phones Model 40</t>
  </si>
  <si>
    <t>Paper Model 44</t>
  </si>
  <si>
    <t>Storage Model 29</t>
  </si>
  <si>
    <t>Paper Model 15</t>
  </si>
  <si>
    <t>Chairs Model 32</t>
  </si>
  <si>
    <t>Storage Model 11</t>
  </si>
  <si>
    <t>Accessories Model 22</t>
  </si>
  <si>
    <t>Chairs Model 14</t>
  </si>
  <si>
    <t>Copiers Model 32</t>
  </si>
  <si>
    <t>Accessories Model 6</t>
  </si>
  <si>
    <t>Tables Model 17</t>
  </si>
  <si>
    <t>Tables Model 20</t>
  </si>
  <si>
    <t>Tables Model 44</t>
  </si>
  <si>
    <t>Binders Model 24</t>
  </si>
  <si>
    <t>Binders Model 6</t>
  </si>
  <si>
    <t>Tables Model 22</t>
  </si>
  <si>
    <t>Paper Model 42</t>
  </si>
  <si>
    <t>Phones Model 23</t>
  </si>
  <si>
    <t>Accessories Model 18</t>
  </si>
  <si>
    <t>Storage Model 4</t>
  </si>
  <si>
    <t>Binders Model 4</t>
  </si>
  <si>
    <t>Chairs Model 8</t>
  </si>
  <si>
    <t>Storage Model 40</t>
  </si>
  <si>
    <t>Bookcases Model 19</t>
  </si>
  <si>
    <t>Copiers Model 42</t>
  </si>
  <si>
    <t>Chairs Model 45</t>
  </si>
  <si>
    <t>Storage Model 44</t>
  </si>
  <si>
    <t>Binders Model 38</t>
  </si>
  <si>
    <t>Tables Model 49</t>
  </si>
  <si>
    <t>Phones Model 13</t>
  </si>
  <si>
    <t>Paper Model 41</t>
  </si>
  <si>
    <t>Binders Model 33</t>
  </si>
  <si>
    <t>Copiers Model 23</t>
  </si>
  <si>
    <t>Paper Model 48</t>
  </si>
  <si>
    <t>Bookcases Model 22</t>
  </si>
  <si>
    <t>Accessories Model 28</t>
  </si>
  <si>
    <t>Phones Model 34</t>
  </si>
  <si>
    <t>Binders Model 41</t>
  </si>
  <si>
    <t>Copiers Model 45</t>
  </si>
  <si>
    <t>Phones Model 18</t>
  </si>
  <si>
    <t>Binders Model 21</t>
  </si>
  <si>
    <t>Chairs Model 44</t>
  </si>
  <si>
    <t>Paper Model 25</t>
  </si>
  <si>
    <t>Bookcases Model 18</t>
  </si>
  <si>
    <t>Phones Model 38</t>
  </si>
  <si>
    <t>Phones Model 9</t>
  </si>
  <si>
    <t>Bookcases Model 50</t>
  </si>
  <si>
    <t>Binders Model 26</t>
  </si>
  <si>
    <t>Copiers Model 30</t>
  </si>
  <si>
    <t>Phones Model 26</t>
  </si>
  <si>
    <t>Accessories Model 7</t>
  </si>
  <si>
    <t>Phones Model 37</t>
  </si>
  <si>
    <t>Chairs Model 30</t>
  </si>
  <si>
    <t>Copiers Model 34</t>
  </si>
  <si>
    <t>Chairs Model 1</t>
  </si>
  <si>
    <t>Paper Model 6</t>
  </si>
  <si>
    <t>Tables Model 34</t>
  </si>
  <si>
    <t>Accessories Model 12</t>
  </si>
  <si>
    <t>Copiers Model 31</t>
  </si>
  <si>
    <t>Copiers Model 40</t>
  </si>
  <si>
    <t>Copiers Model 19</t>
  </si>
  <si>
    <t>Copiers Model 38</t>
  </si>
  <si>
    <t>Accessories Model 43</t>
  </si>
  <si>
    <t>Bookcases Model 9</t>
  </si>
  <si>
    <t>Bookcases Model 20</t>
  </si>
  <si>
    <t>Tables Model 39</t>
  </si>
  <si>
    <t>Tables Model 6</t>
  </si>
  <si>
    <t>Chairs Model 41</t>
  </si>
  <si>
    <t>Phones Model 1</t>
  </si>
  <si>
    <t>Bookcases Model 3</t>
  </si>
  <si>
    <t>Accessories Model 23</t>
  </si>
  <si>
    <t>Binders Model 3</t>
  </si>
  <si>
    <t>Tables Model 50</t>
  </si>
  <si>
    <t>Phones Model 6</t>
  </si>
  <si>
    <t>Accessories Model 48</t>
  </si>
  <si>
    <t>Paper Model 13</t>
  </si>
  <si>
    <t>Tables Model 46</t>
  </si>
  <si>
    <t>Accessories Model 29</t>
  </si>
  <si>
    <t>Phones Model 20</t>
  </si>
  <si>
    <t>Storage Model 6</t>
  </si>
  <si>
    <t>Accessories Model 47</t>
  </si>
  <si>
    <t>Phones Model 7</t>
  </si>
  <si>
    <t>Phones Model 32</t>
  </si>
  <si>
    <t>Copiers Model 37</t>
  </si>
  <si>
    <t>Paper Model 31</t>
  </si>
  <si>
    <t>Paper Model 47</t>
  </si>
  <si>
    <t>Paper Model 3</t>
  </si>
  <si>
    <t>Chairs Model 46</t>
  </si>
  <si>
    <t>Bookcases Model 40</t>
  </si>
  <si>
    <t>Tables Model 23</t>
  </si>
  <si>
    <t>Paper Model 43</t>
  </si>
  <si>
    <t>Binders Model 31</t>
  </si>
  <si>
    <t>Accessories Model 19</t>
  </si>
  <si>
    <t>Bookcases Model 21</t>
  </si>
  <si>
    <t>Accessories Model 31</t>
  </si>
  <si>
    <t>Storage Model 34</t>
  </si>
  <si>
    <t>Bookcases Model 46</t>
  </si>
  <si>
    <t>Phones Model 19</t>
  </si>
  <si>
    <t>Bookcases Model 42</t>
  </si>
  <si>
    <t>Chairs Model 35</t>
  </si>
  <si>
    <t>Tables Model 16</t>
  </si>
  <si>
    <t>Storage Model 20</t>
  </si>
  <si>
    <t>Tables Model 5</t>
  </si>
  <si>
    <t>Storage Model 48</t>
  </si>
  <si>
    <t>Paper Model 2</t>
  </si>
  <si>
    <t>Storage Model 17</t>
  </si>
  <si>
    <t>Storage Model 35</t>
  </si>
  <si>
    <t>Storage Model 18</t>
  </si>
  <si>
    <t>Phones Model 49</t>
  </si>
  <si>
    <t>Tables Model 33</t>
  </si>
  <si>
    <t>Chairs Model 29</t>
  </si>
  <si>
    <t>Accessories Model 32</t>
  </si>
  <si>
    <t>Tables Model 30</t>
  </si>
  <si>
    <t>Phones Model 39</t>
  </si>
  <si>
    <t>Accessories Model 26</t>
  </si>
  <si>
    <t>Binders Model 45</t>
  </si>
  <si>
    <t>Paper Model 38</t>
  </si>
  <si>
    <t>Storage Model 43</t>
  </si>
  <si>
    <t>Storage Model 31</t>
  </si>
  <si>
    <t>Phones Model 29</t>
  </si>
  <si>
    <t>Phones Model 36</t>
  </si>
  <si>
    <t>Binders Model 37</t>
  </si>
  <si>
    <t>Chairs Model 6</t>
  </si>
  <si>
    <t>Tables Model 18</t>
  </si>
  <si>
    <t>Copiers Model 29</t>
  </si>
  <si>
    <t>Tables Model 37</t>
  </si>
  <si>
    <t>Paper Model 19</t>
  </si>
  <si>
    <t>Binders Model 11</t>
  </si>
  <si>
    <t>Tables Model 43</t>
  </si>
  <si>
    <t>Tables Model 38</t>
  </si>
  <si>
    <t>Tables Model 29</t>
  </si>
  <si>
    <t>Storage Model 23</t>
  </si>
  <si>
    <t>Binders Model 34</t>
  </si>
  <si>
    <t>Chairs Model 18</t>
  </si>
  <si>
    <t>Bookcases Model 4</t>
  </si>
  <si>
    <t>Phones Model 11</t>
  </si>
  <si>
    <t>Copiers Model 17</t>
  </si>
  <si>
    <t>Storage Model 12</t>
  </si>
  <si>
    <t>Tables Model 13</t>
  </si>
  <si>
    <t>Copiers Model 27</t>
  </si>
  <si>
    <t>Bookcases Model 26</t>
  </si>
  <si>
    <t>Accessories Model 21</t>
  </si>
  <si>
    <t>Paper Model 14</t>
  </si>
  <si>
    <t>Chairs Model 38</t>
  </si>
  <si>
    <t>Chairs Model 37</t>
  </si>
  <si>
    <t>Phones Model 42</t>
  </si>
  <si>
    <t>Copiers Model 25</t>
  </si>
  <si>
    <t>Copiers Model 2</t>
  </si>
  <si>
    <t>Accessories Model 37</t>
  </si>
  <si>
    <t>Paper Model 40</t>
  </si>
  <si>
    <t>Binders Model 15</t>
  </si>
  <si>
    <t>Tables Model 40</t>
  </si>
  <si>
    <t>Copiers Model 22</t>
  </si>
  <si>
    <t>Bookcases Model 39</t>
  </si>
  <si>
    <t>Chairs Model 7</t>
  </si>
  <si>
    <t>Storage Model 2</t>
  </si>
  <si>
    <t>Paper Model 12</t>
  </si>
  <si>
    <t>Copiers Model 14</t>
  </si>
  <si>
    <t>Copiers Model 10</t>
  </si>
  <si>
    <t>Storage Model 42</t>
  </si>
  <si>
    <t>Paper Model 4</t>
  </si>
  <si>
    <t>Accessories Model 50</t>
  </si>
  <si>
    <t>Copiers Model 5</t>
  </si>
  <si>
    <t>Phones Model 24</t>
  </si>
  <si>
    <t>Storage Model 37</t>
  </si>
  <si>
    <t>Phones Model 31</t>
  </si>
  <si>
    <t>Storage Model 9</t>
  </si>
  <si>
    <t>Copiers Model 21</t>
  </si>
  <si>
    <t>Tables Model 26</t>
  </si>
  <si>
    <t>Phones Model 15</t>
  </si>
  <si>
    <t>Phones Model 28</t>
  </si>
  <si>
    <t>Accessories Model 38</t>
  </si>
  <si>
    <t>Tables Model 42</t>
  </si>
  <si>
    <t>Storage Model 7</t>
  </si>
  <si>
    <t>Binders Model 22</t>
  </si>
  <si>
    <t>Storage Model 26</t>
  </si>
  <si>
    <t>Accessories Model 8</t>
  </si>
  <si>
    <t>Tables Model 7</t>
  </si>
  <si>
    <t>Chairs Model 50</t>
  </si>
  <si>
    <t>Storage Model 45</t>
  </si>
  <si>
    <t>Chairs Model 40</t>
  </si>
  <si>
    <t>Paper Model 50</t>
  </si>
  <si>
    <t>Accessories Model 36</t>
  </si>
  <si>
    <t>Bookcases Model 32</t>
  </si>
  <si>
    <t>Bookcases Model 29</t>
  </si>
  <si>
    <t>Accessories Model 14</t>
  </si>
  <si>
    <t>Paper Model 46</t>
  </si>
  <si>
    <t>Chairs Model 28</t>
  </si>
  <si>
    <t>Storage Model 47</t>
  </si>
  <si>
    <t>Accessories Model 45</t>
  </si>
  <si>
    <t>Accessories Model 17</t>
  </si>
  <si>
    <t>Phones Model 3</t>
  </si>
  <si>
    <t>Bookcases Model 34</t>
  </si>
  <si>
    <t>Chairs Model 31</t>
  </si>
  <si>
    <t>Bookcases Model 31</t>
  </si>
  <si>
    <t>Copiers Model 15</t>
  </si>
  <si>
    <t>Tables Model 45</t>
  </si>
  <si>
    <t>Binders Model 36</t>
  </si>
  <si>
    <t>Tables Model 24</t>
  </si>
  <si>
    <t>Bookcases Model 13</t>
  </si>
  <si>
    <t>Tables Model 47</t>
  </si>
  <si>
    <t>Paper Model 27</t>
  </si>
  <si>
    <t>Binders Model 50</t>
  </si>
  <si>
    <t>Accessories Model 30</t>
  </si>
  <si>
    <t>Accessories Model 16</t>
  </si>
  <si>
    <t>Paper Model 37</t>
  </si>
  <si>
    <t>Binders Model 12</t>
  </si>
  <si>
    <t>Tables Model 12</t>
  </si>
  <si>
    <t>Bookcases Model 2</t>
  </si>
  <si>
    <t>Binders Model 9</t>
  </si>
  <si>
    <t>Accessories Model 49</t>
  </si>
  <si>
    <t>Tables Model 11</t>
  </si>
  <si>
    <t>Phones Model 5</t>
  </si>
  <si>
    <t>Phones Model 35</t>
  </si>
  <si>
    <t>Tables Model 32</t>
  </si>
  <si>
    <t>Binders Model 25</t>
  </si>
  <si>
    <t>Bookcases Model 45</t>
  </si>
  <si>
    <t>Paper Model 5</t>
  </si>
  <si>
    <t>Bookcases Model 37</t>
  </si>
  <si>
    <t>Copiers Model 20</t>
  </si>
  <si>
    <t>Binders Model 48</t>
  </si>
  <si>
    <t>Accessories Model 25</t>
  </si>
  <si>
    <t>Paper Model 20</t>
  </si>
  <si>
    <t>Accessories Model 34</t>
  </si>
  <si>
    <t>Storage Model 19</t>
  </si>
  <si>
    <t>Copiers Model 50</t>
  </si>
  <si>
    <t>Copiers Model 8</t>
  </si>
  <si>
    <t>Bookcases Model 48</t>
  </si>
  <si>
    <t>Bookcases Model 17</t>
  </si>
  <si>
    <t>Paper Model 33</t>
  </si>
  <si>
    <t>Binders Model 16</t>
  </si>
  <si>
    <t>Storage Model 14</t>
  </si>
  <si>
    <t>Storage Model 21</t>
  </si>
  <si>
    <t>Storage Model 10</t>
  </si>
  <si>
    <t>Chairs Model 23</t>
  </si>
  <si>
    <t>Storage Model 3</t>
  </si>
  <si>
    <t>Paper Model 10</t>
  </si>
  <si>
    <t>Storage Model 49</t>
  </si>
  <si>
    <t>Bookcases Model 14</t>
  </si>
  <si>
    <t>Chairs Model 10</t>
  </si>
  <si>
    <t>Bookcases Model 35</t>
  </si>
  <si>
    <t>Accessories Model 20</t>
  </si>
  <si>
    <t>Copiers Model 28</t>
  </si>
  <si>
    <t>Copiers Model 6</t>
  </si>
  <si>
    <t>Storage Model 13</t>
  </si>
  <si>
    <t>Accessories Model 9</t>
  </si>
  <si>
    <t>Binders Model 46</t>
  </si>
  <si>
    <t>Paper Model 16</t>
  </si>
  <si>
    <t>Phones Model 17</t>
  </si>
  <si>
    <t>Phones Model 16</t>
  </si>
  <si>
    <t>Storage Model 5</t>
  </si>
  <si>
    <t>Phones Model 2</t>
  </si>
  <si>
    <t>Bookcases Model 7</t>
  </si>
  <si>
    <t>Tables Model 9</t>
  </si>
  <si>
    <t>Phones Model 45</t>
  </si>
  <si>
    <t>Phones Model 25</t>
  </si>
  <si>
    <t>Copiers Model 47</t>
  </si>
  <si>
    <t>Bookcases Model 38</t>
  </si>
  <si>
    <t>Binders Model 42</t>
  </si>
  <si>
    <t>Copiers Model 13</t>
  </si>
  <si>
    <t>Accessories Model 5</t>
  </si>
  <si>
    <t>Chairs Model 12</t>
  </si>
  <si>
    <t>Binders Model 32</t>
  </si>
  <si>
    <t>Paper Model 21</t>
  </si>
  <si>
    <t>Binders Model 13</t>
  </si>
  <si>
    <t>Copiers Model 36</t>
  </si>
  <si>
    <t>Chairs Model 15</t>
  </si>
  <si>
    <t>Chairs Model 19</t>
  </si>
  <si>
    <t>Binders Model 7</t>
  </si>
  <si>
    <t>Bookcases Model 8</t>
  </si>
  <si>
    <t>Binders Model 5</t>
  </si>
  <si>
    <t>10/17/2023</t>
  </si>
  <si>
    <t xml:space="preserve">United States </t>
  </si>
  <si>
    <t>22/03/2022</t>
  </si>
  <si>
    <t>01/25/2023</t>
  </si>
  <si>
    <t>17/01/2024</t>
  </si>
  <si>
    <t>04/08/2023</t>
  </si>
  <si>
    <t>13/08/2022</t>
  </si>
  <si>
    <t>06/15/2024</t>
  </si>
  <si>
    <t>02/18/2024</t>
  </si>
  <si>
    <t>19/11/2023</t>
  </si>
  <si>
    <t>02/21/2022</t>
  </si>
  <si>
    <t>05/03/2022</t>
  </si>
  <si>
    <t>29/09/2022</t>
  </si>
  <si>
    <t>09/29/2022</t>
  </si>
  <si>
    <t>04/17/2022</t>
  </si>
  <si>
    <t>16/05/2023</t>
  </si>
  <si>
    <t>01/10/2022</t>
  </si>
  <si>
    <t>02/27/2023</t>
  </si>
  <si>
    <t>25/12/2022</t>
  </si>
  <si>
    <t>08/14/2023</t>
  </si>
  <si>
    <t>06/02/2024</t>
  </si>
  <si>
    <t>11/23/2023</t>
  </si>
  <si>
    <t>05/04/2024</t>
  </si>
  <si>
    <t>02/14/2023</t>
  </si>
  <si>
    <t>01/02/2024</t>
  </si>
  <si>
    <t>24/11/2022</t>
  </si>
  <si>
    <t>02/05/2024</t>
  </si>
  <si>
    <t>04/05/2024</t>
  </si>
  <si>
    <t>21/04/2022</t>
  </si>
  <si>
    <t>09/07/2023</t>
  </si>
  <si>
    <t>10/13/2023</t>
  </si>
  <si>
    <t>10/14/2022</t>
  </si>
  <si>
    <t>12/21/2023</t>
  </si>
  <si>
    <t>07/21/2023</t>
  </si>
  <si>
    <t>16/09/2022</t>
  </si>
  <si>
    <t>01/28/2024</t>
  </si>
  <si>
    <t>06/02/2022</t>
  </si>
  <si>
    <t>06/05/2024</t>
  </si>
  <si>
    <t>23/03/2023</t>
  </si>
  <si>
    <t>15/06/2023</t>
  </si>
  <si>
    <t>16/09/2023</t>
  </si>
  <si>
    <t>03/02/2024</t>
  </si>
  <si>
    <t>07/12/2022</t>
  </si>
  <si>
    <t>30/04/2023</t>
  </si>
  <si>
    <t>22/05/2024</t>
  </si>
  <si>
    <t>11/04/2022</t>
  </si>
  <si>
    <t>02/26/2023</t>
  </si>
  <si>
    <t>18/09/2022</t>
  </si>
  <si>
    <t>09/14/2022</t>
  </si>
  <si>
    <t>14/09/2022</t>
  </si>
  <si>
    <t>06/03/2022</t>
  </si>
  <si>
    <t>04/10/2023</t>
  </si>
  <si>
    <t>10/08/2022</t>
  </si>
  <si>
    <t>01/16/2022</t>
  </si>
  <si>
    <t>01/06/2023</t>
  </si>
  <si>
    <t>13/03/2023</t>
  </si>
  <si>
    <t>02/06/2023</t>
  </si>
  <si>
    <t>03/02/2023</t>
  </si>
  <si>
    <t>02/02/2024</t>
  </si>
  <si>
    <t>07/09/2023</t>
  </si>
  <si>
    <t>08/20/2022</t>
  </si>
  <si>
    <t>12/26/2022</t>
  </si>
  <si>
    <t>16/12/2022</t>
  </si>
  <si>
    <t>30/03/2023</t>
  </si>
  <si>
    <t>05/25/2023</t>
  </si>
  <si>
    <t>21/03/2022</t>
  </si>
  <si>
    <t>09/01/2023</t>
  </si>
  <si>
    <t>02/01/2023</t>
  </si>
  <si>
    <t>11/11/2023</t>
  </si>
  <si>
    <t>01/05/2024</t>
  </si>
  <si>
    <t>05/22/2022</t>
  </si>
  <si>
    <t>06/04/2023</t>
  </si>
  <si>
    <t>03/23/2024</t>
  </si>
  <si>
    <t>22/09/2023</t>
  </si>
  <si>
    <t>14/07/2023</t>
  </si>
  <si>
    <t>03/21/2024</t>
  </si>
  <si>
    <t>15/01/2024</t>
  </si>
  <si>
    <t>10/06/2023</t>
  </si>
  <si>
    <t>07/10/2022</t>
  </si>
  <si>
    <t>23/04/2023</t>
  </si>
  <si>
    <t>07/01/2023</t>
  </si>
  <si>
    <t>16/02/2022</t>
  </si>
  <si>
    <t>31/05/2024</t>
  </si>
  <si>
    <t>19/06/2024</t>
  </si>
  <si>
    <t>07/30/2023</t>
  </si>
  <si>
    <t>01/18/2023</t>
  </si>
  <si>
    <t>12/06/2024</t>
  </si>
  <si>
    <t>10/08/2023</t>
  </si>
  <si>
    <t>22/05/2022</t>
  </si>
  <si>
    <t>05/11/2023</t>
  </si>
  <si>
    <t>03/29/2023</t>
  </si>
  <si>
    <t>28/06/2023</t>
  </si>
  <si>
    <t>29/10/2023</t>
  </si>
  <si>
    <t>02/07/2022</t>
  </si>
  <si>
    <t>05/08/2023</t>
  </si>
  <si>
    <t>09/12/2022</t>
  </si>
  <si>
    <t>11/15/2023</t>
  </si>
  <si>
    <t>06/06/2022</t>
  </si>
  <si>
    <t>12/22/2023</t>
  </si>
  <si>
    <t>30/05/2024</t>
  </si>
  <si>
    <t>01/24/2023</t>
  </si>
  <si>
    <t>31/07/2022</t>
  </si>
  <si>
    <t>21/01/2023</t>
  </si>
  <si>
    <t>09/06/2022</t>
  </si>
  <si>
    <t>02/12/2024</t>
  </si>
  <si>
    <t>25/09/2022</t>
  </si>
  <si>
    <t>04/02/2022</t>
  </si>
  <si>
    <t>03/03/2022</t>
  </si>
  <si>
    <t>10/21/2022</t>
  </si>
  <si>
    <t>03/25/2024</t>
  </si>
  <si>
    <t>02/03/2024</t>
  </si>
  <si>
    <t>05/18/2023</t>
  </si>
  <si>
    <t>17/03/2022</t>
  </si>
  <si>
    <t>16/05/2022</t>
  </si>
  <si>
    <t>13/01/2022</t>
  </si>
  <si>
    <t>12/13/2023</t>
  </si>
  <si>
    <t>01/09/2023</t>
  </si>
  <si>
    <t>12/03/2022</t>
  </si>
  <si>
    <t>02/15/2023</t>
  </si>
  <si>
    <t>01/10/2024</t>
  </si>
  <si>
    <t>13/06/2022</t>
  </si>
  <si>
    <t>01/05/2022</t>
  </si>
  <si>
    <t>18/11/2023</t>
  </si>
  <si>
    <t>09/27/2022</t>
  </si>
  <si>
    <t>02/08/2024</t>
  </si>
  <si>
    <t>10/10/2023</t>
  </si>
  <si>
    <t>12/12/2022</t>
  </si>
  <si>
    <t>10/27/2023</t>
  </si>
  <si>
    <t>26/12/2022</t>
  </si>
  <si>
    <t>03/16/2023</t>
  </si>
  <si>
    <t>01/13/2022</t>
  </si>
  <si>
    <t>09/26/2022</t>
  </si>
  <si>
    <t>03/27/2022</t>
  </si>
  <si>
    <t>09/08/2022</t>
  </si>
  <si>
    <t>05/24/2023</t>
  </si>
  <si>
    <t>01/25/2022</t>
  </si>
  <si>
    <t>01/09/2022</t>
  </si>
  <si>
    <t>12/19/2023</t>
  </si>
  <si>
    <t>05/05/2024</t>
  </si>
  <si>
    <t>24/08/2023</t>
  </si>
  <si>
    <t>20/03/2023</t>
  </si>
  <si>
    <t>10/04/2024</t>
  </si>
  <si>
    <t>07/26/2022</t>
  </si>
  <si>
    <t>11/10/2023</t>
  </si>
  <si>
    <t>13/11/2023</t>
  </si>
  <si>
    <t>20/01/2023</t>
  </si>
  <si>
    <t>06/24/2022</t>
  </si>
  <si>
    <t>03/21/2023</t>
  </si>
  <si>
    <t>15/01/2023</t>
  </si>
  <si>
    <t>11/03/2022</t>
  </si>
  <si>
    <t>04/07/2024</t>
  </si>
  <si>
    <t>02/02/2023</t>
  </si>
  <si>
    <t>01/06/2022</t>
  </si>
  <si>
    <t>05/13/2023</t>
  </si>
  <si>
    <t>15/11/2022</t>
  </si>
  <si>
    <t>23/12/2023</t>
  </si>
  <si>
    <t>06/10/2024</t>
  </si>
  <si>
    <t>03/09/2024</t>
  </si>
  <si>
    <t>06/18/2023</t>
  </si>
  <si>
    <t>11/10/2022</t>
  </si>
  <si>
    <t>01/27/2022</t>
  </si>
  <si>
    <t>02/24/2022</t>
  </si>
  <si>
    <t>07/25/2022</t>
  </si>
  <si>
    <t>12/12/2023</t>
  </si>
  <si>
    <t>07/03/2023</t>
  </si>
  <si>
    <t>29/08/2022</t>
  </si>
  <si>
    <t>04/13/2023</t>
  </si>
  <si>
    <t>11/26/2023</t>
  </si>
  <si>
    <t>21/12/2022</t>
  </si>
  <si>
    <t>04/09/2022</t>
  </si>
  <si>
    <t>11/20/2022</t>
  </si>
  <si>
    <t>11/19/2023</t>
  </si>
  <si>
    <t>04/10/2022</t>
  </si>
  <si>
    <t>04/07/2023</t>
  </si>
  <si>
    <t>08/16/2023</t>
  </si>
  <si>
    <t>10/29/2022</t>
  </si>
  <si>
    <t>04/13/2024</t>
  </si>
  <si>
    <t>01/02/2023</t>
  </si>
  <si>
    <t>01/13/2024</t>
  </si>
  <si>
    <t>28/09/2022</t>
  </si>
  <si>
    <t>19/03/2024</t>
  </si>
  <si>
    <t>12/24/2022</t>
  </si>
  <si>
    <t>02/04/2024</t>
  </si>
  <si>
    <t>11/18/2023</t>
  </si>
  <si>
    <t>06/12/2022</t>
  </si>
  <si>
    <t>03/16/2024</t>
  </si>
  <si>
    <t>10/30/2022</t>
  </si>
  <si>
    <t>07/15/2023</t>
  </si>
  <si>
    <t>28/04/2022</t>
  </si>
  <si>
    <t>18/08/2023</t>
  </si>
  <si>
    <t>27/11/2023</t>
  </si>
  <si>
    <t>01/22/2024</t>
  </si>
  <si>
    <t>11/01/2022</t>
  </si>
  <si>
    <t>11/02/2022</t>
  </si>
  <si>
    <t>09/15/2022</t>
  </si>
  <si>
    <t>11/06/2023</t>
  </si>
  <si>
    <t>08/04/2022</t>
  </si>
  <si>
    <t>06/20/2022</t>
  </si>
  <si>
    <t>23/01/2023</t>
  </si>
  <si>
    <t>05/31/2023</t>
  </si>
  <si>
    <t>06/27/2023</t>
  </si>
  <si>
    <t>08/27/2022</t>
  </si>
  <si>
    <t>11/02/2023</t>
  </si>
  <si>
    <t>10/10/2022</t>
  </si>
  <si>
    <t>12/24/2023</t>
  </si>
  <si>
    <t>20/05/2024</t>
  </si>
  <si>
    <t>01/01/2022</t>
  </si>
  <si>
    <t>29/04/2024</t>
  </si>
  <si>
    <t>12/08/2022</t>
  </si>
  <si>
    <t>12/31/2022</t>
  </si>
  <si>
    <t>04/05/2022</t>
  </si>
  <si>
    <t>10/03/2022</t>
  </si>
  <si>
    <t>03/08/2023</t>
  </si>
  <si>
    <t>08/09/2022</t>
  </si>
  <si>
    <t>06/24/2023</t>
  </si>
  <si>
    <t>09/04/2023</t>
  </si>
  <si>
    <t>29/03/2023</t>
  </si>
  <si>
    <t>05/04/2023</t>
  </si>
  <si>
    <t>01/03/2024</t>
  </si>
  <si>
    <t>07/06/2022</t>
  </si>
  <si>
    <t>23/01/2022</t>
  </si>
  <si>
    <t>28/04/2024</t>
  </si>
  <si>
    <t>08/12/2022</t>
  </si>
  <si>
    <t>15/05/2023</t>
  </si>
  <si>
    <t>12/25/2023</t>
  </si>
  <si>
    <t>06/28/2023</t>
  </si>
  <si>
    <t>09/28/2023</t>
  </si>
  <si>
    <t>26/11/2022</t>
  </si>
  <si>
    <t>20/10/2023</t>
  </si>
  <si>
    <t>25/04/2023</t>
  </si>
  <si>
    <t>19/04/2022</t>
  </si>
  <si>
    <t>24/02/2024</t>
  </si>
  <si>
    <t>01/07/2022</t>
  </si>
  <si>
    <t>12/09/2022</t>
  </si>
  <si>
    <t>02/12/2022</t>
  </si>
  <si>
    <t>16/12/2023</t>
  </si>
  <si>
    <t>09/11/2022</t>
  </si>
  <si>
    <t>28/01/2024</t>
  </si>
  <si>
    <t>07/05/2023</t>
  </si>
  <si>
    <t>20/01/2022</t>
  </si>
  <si>
    <t>18/01/2024</t>
  </si>
  <si>
    <t>10/31/2023</t>
  </si>
  <si>
    <t>03/08/2024</t>
  </si>
  <si>
    <t>03/14/2023</t>
  </si>
  <si>
    <t>27/04/2024</t>
  </si>
  <si>
    <t>08/03/2024</t>
  </si>
  <si>
    <t>28/11/2022</t>
  </si>
  <si>
    <t>26/02/2024</t>
  </si>
  <si>
    <t>11/08/2022</t>
  </si>
  <si>
    <t>26/02/2022</t>
  </si>
  <si>
    <t>08/11/2023</t>
  </si>
  <si>
    <t>03/01/2023</t>
  </si>
  <si>
    <t>07/01/2022</t>
  </si>
  <si>
    <t>14/03/2024</t>
  </si>
  <si>
    <t>02/27/2024</t>
  </si>
  <si>
    <t>11/23/2022</t>
  </si>
  <si>
    <t>04/28/2023</t>
  </si>
  <si>
    <t>08/26/2022</t>
  </si>
  <si>
    <t>26/04/2022</t>
  </si>
  <si>
    <t>06/30/2022</t>
  </si>
  <si>
    <t>31/05/2022</t>
  </si>
  <si>
    <t>08/20/2023</t>
  </si>
  <si>
    <t>07/23/2023</t>
  </si>
  <si>
    <t>01/13/2023</t>
  </si>
  <si>
    <t>23/06/2022</t>
  </si>
  <si>
    <t>10/15/2022</t>
  </si>
  <si>
    <t>12/03/2024</t>
  </si>
  <si>
    <t>05/03/2023</t>
  </si>
  <si>
    <t>28/05/2022</t>
  </si>
  <si>
    <t>02/05/2022</t>
  </si>
  <si>
    <t>04/27/2022</t>
  </si>
  <si>
    <t>13/04/2022</t>
  </si>
  <si>
    <t>10/05/2022</t>
  </si>
  <si>
    <t>04/01/2022</t>
  </si>
  <si>
    <t>15/09/2022</t>
  </si>
  <si>
    <t>08/14/2022</t>
  </si>
  <si>
    <t>18/07/2022</t>
  </si>
  <si>
    <t>30/10/2022</t>
  </si>
  <si>
    <t>04/30/2023</t>
  </si>
  <si>
    <t>27/04/2023</t>
  </si>
  <si>
    <t>02/20/2023</t>
  </si>
  <si>
    <t>09/20/2023</t>
  </si>
  <si>
    <t>01/10/2023</t>
  </si>
  <si>
    <t>12/20/2022</t>
  </si>
  <si>
    <t>03/07/2023</t>
  </si>
  <si>
    <t>07/30/2022</t>
  </si>
  <si>
    <t>02/26/2024</t>
  </si>
  <si>
    <t>07/12/2023</t>
  </si>
  <si>
    <t>01/08/2022</t>
  </si>
  <si>
    <t>19/04/2023</t>
  </si>
  <si>
    <t>27/06/2023</t>
  </si>
  <si>
    <t>08/15/2022</t>
  </si>
  <si>
    <t>09/09/2023</t>
  </si>
  <si>
    <t>11/18/2022</t>
  </si>
  <si>
    <t>delivery days</t>
  </si>
  <si>
    <t>price per quantity</t>
  </si>
  <si>
    <t>order date</t>
  </si>
  <si>
    <t>order date cleaned</t>
  </si>
  <si>
    <t>profit margin</t>
  </si>
  <si>
    <t>Row Labels</t>
  </si>
  <si>
    <t>Grand Total</t>
  </si>
  <si>
    <t>Sum of Sales</t>
  </si>
  <si>
    <t>Sum of Profit</t>
  </si>
  <si>
    <t>&lt;01-01-2022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</si>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</sst>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DATASET.xlsx]PIVOT!PivotTable1</c:name>
    <c:fmtId val="4"/>
  </c:pivotSource>
  <c:chart>
    <c:title>
      <c:layout>
        <c:manualLayout>
          <c:xMode val="edge"/>
          <c:yMode val="edge"/>
          <c:x val="0.43046680903993773"/>
          <c:y val="0.16067796876349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PIVOT!$B$4:$B$8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PIVOT!$C$4:$C$8</c:f>
              <c:numCache>
                <c:formatCode>General</c:formatCode>
                <c:ptCount val="4"/>
                <c:pt idx="0">
                  <c:v>66756.97000000003</c:v>
                </c:pt>
                <c:pt idx="1">
                  <c:v>88837.250000000029</c:v>
                </c:pt>
                <c:pt idx="2">
                  <c:v>67290.3</c:v>
                </c:pt>
                <c:pt idx="3">
                  <c:v>93252.520000000019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0-42F9-9990-E259F54DE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225743"/>
        <c:axId val="407227183"/>
      </c:barChart>
      <c:catAx>
        <c:axId val="40722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27183"/>
        <c:crosses val="autoZero"/>
        <c:auto val="1"/>
        <c:lblAlgn val="ctr"/>
        <c:lblOffset val="100"/>
        <c:noMultiLvlLbl val="0"/>
      </c:catAx>
      <c:valAx>
        <c:axId val="40722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2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DATASET.xlsx]PIVOT!PivotTable4</c:name>
    <c:fmtId val="4"/>
  </c:pivotSource>
  <c:chart>
    <c:title>
      <c:layout>
        <c:manualLayout>
          <c:xMode val="edge"/>
          <c:yMode val="edge"/>
          <c:x val="0.23351460246564804"/>
          <c:y val="0.147766220660010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PIVOT!$L$3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BD-4171-8DCC-6E5E4E7A34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D-4171-8DCC-6E5E4E7A34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BD-4171-8DCC-6E5E4E7A3429}"/>
              </c:ext>
            </c:extLst>
          </c:dPt>
          <c:cat>
            <c:strRef>
              <c:f>PIVOT!$K$4:$K$7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PIVOT!$L$4:$L$7</c:f>
              <c:numCache>
                <c:formatCode>General</c:formatCode>
                <c:ptCount val="3"/>
                <c:pt idx="0">
                  <c:v>4782.4399999999987</c:v>
                </c:pt>
                <c:pt idx="1">
                  <c:v>3583.4499999999994</c:v>
                </c:pt>
                <c:pt idx="2">
                  <c:v>5352.15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9-4247-AB37-6DFD7F83F26A}"/>
            </c:ext>
          </c:extLst>
        </c:ser>
        <c:ser>
          <c:idx val="1"/>
          <c:order val="1"/>
          <c:tx>
            <c:strRef>
              <c:f>PIVOT!$M$3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BD-4171-8DCC-6E5E4E7A34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EBD-4171-8DCC-6E5E4E7A34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EBD-4171-8DCC-6E5E4E7A3429}"/>
              </c:ext>
            </c:extLst>
          </c:dPt>
          <c:cat>
            <c:strRef>
              <c:f>PIVOT!$K$4:$K$7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PIVOT!$M$4:$M$7</c:f>
              <c:numCache>
                <c:formatCode>General</c:formatCode>
                <c:ptCount val="3"/>
                <c:pt idx="0">
                  <c:v>99285.010000000009</c:v>
                </c:pt>
                <c:pt idx="1">
                  <c:v>110902.04000000004</c:v>
                </c:pt>
                <c:pt idx="2">
                  <c:v>105949.99000000003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09-4247-AB37-6DFD7F83F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DATASET.xlsx]PIVOT!PivotTable5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PIVOT!$R$3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PIVOT!$Q$4:$Q$9</c:f>
              <c:strCache>
                <c:ptCount val="5"/>
                <c:pt idx="0">
                  <c:v>&lt;01-01-2022</c:v>
                </c:pt>
                <c:pt idx="1">
                  <c:v>Qtr1</c:v>
                </c:pt>
                <c:pt idx="2">
                  <c:v>Qtr2</c:v>
                </c:pt>
                <c:pt idx="3">
                  <c:v>Qtr3</c:v>
                </c:pt>
                <c:pt idx="4">
                  <c:v>Qtr4</c:v>
                </c:pt>
              </c:strCache>
            </c:strRef>
          </c:cat>
          <c:val>
            <c:numRef>
              <c:f>PIVOT!$R$4:$R$9</c:f>
              <c:numCache>
                <c:formatCode>General</c:formatCode>
                <c:ptCount val="5"/>
                <c:pt idx="0">
                  <c:v>75276.410000000033</c:v>
                </c:pt>
                <c:pt idx="1">
                  <c:v>73289.37999999999</c:v>
                </c:pt>
                <c:pt idx="2">
                  <c:v>69622.610000000015</c:v>
                </c:pt>
                <c:pt idx="3">
                  <c:v>50793.940000000017</c:v>
                </c:pt>
                <c:pt idx="4">
                  <c:v>47154.700000000019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6-41E5-AF48-23084DC1F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189743"/>
        <c:axId val="407187823"/>
      </c:lineChart>
      <c:catAx>
        <c:axId val="40718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187823"/>
        <c:crosses val="autoZero"/>
        <c:auto val="1"/>
        <c:lblAlgn val="ctr"/>
        <c:lblOffset val="100"/>
        <c:noMultiLvlLbl val="0"/>
      </c:catAx>
      <c:valAx>
        <c:axId val="40718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18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DATASET.xlsx]PIVOT!PivotTable2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7955402449693787"/>
          <c:y val="0.28643299795858851"/>
          <c:w val="0.44814960629921258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PIVOT!$F$4:$F$7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PIVOT!$G$4:$G$7</c:f>
              <c:numCache>
                <c:formatCode>General</c:formatCode>
                <c:ptCount val="3"/>
                <c:pt idx="0">
                  <c:v>5302.7099999999964</c:v>
                </c:pt>
                <c:pt idx="1">
                  <c:v>5551.08</c:v>
                </c:pt>
                <c:pt idx="2">
                  <c:v>2864.2499999999995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E-4F7D-9B8D-56574F3E6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7220463"/>
        <c:axId val="407228143"/>
      </c:barChart>
      <c:catAx>
        <c:axId val="407220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28143"/>
        <c:crosses val="autoZero"/>
        <c:auto val="1"/>
        <c:lblAlgn val="ctr"/>
        <c:lblOffset val="100"/>
        <c:noMultiLvlLbl val="0"/>
      </c:catAx>
      <c:valAx>
        <c:axId val="40722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2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DATASET.xlsx]PIVOT!PivotTable3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PIVOT!$D$29:$D$39</c:f>
              <c:strCache>
                <c:ptCount val="10"/>
                <c:pt idx="0">
                  <c:v>Bookcases Model 24</c:v>
                </c:pt>
                <c:pt idx="1">
                  <c:v>Bookcases Model 30</c:v>
                </c:pt>
                <c:pt idx="2">
                  <c:v>Bookcases Model 4</c:v>
                </c:pt>
                <c:pt idx="3">
                  <c:v>Copiers Model 35</c:v>
                </c:pt>
                <c:pt idx="4">
                  <c:v>Phones Model 40</c:v>
                </c:pt>
                <c:pt idx="5">
                  <c:v>Phones Model 49</c:v>
                </c:pt>
                <c:pt idx="6">
                  <c:v>Storage Model 40</c:v>
                </c:pt>
                <c:pt idx="7">
                  <c:v>Tables Model 23</c:v>
                </c:pt>
                <c:pt idx="8">
                  <c:v>Tables Model 34</c:v>
                </c:pt>
                <c:pt idx="9">
                  <c:v>Tables Model 50</c:v>
                </c:pt>
              </c:strCache>
            </c:strRef>
          </c:cat>
          <c:val>
            <c:numRef>
              <c:f>PIVOT!$E$29:$E$39</c:f>
              <c:numCache>
                <c:formatCode>General</c:formatCode>
                <c:ptCount val="10"/>
                <c:pt idx="0">
                  <c:v>3160.17</c:v>
                </c:pt>
                <c:pt idx="1">
                  <c:v>2839.47</c:v>
                </c:pt>
                <c:pt idx="2">
                  <c:v>2882.7400000000002</c:v>
                </c:pt>
                <c:pt idx="3">
                  <c:v>2632.17</c:v>
                </c:pt>
                <c:pt idx="4">
                  <c:v>3960.54</c:v>
                </c:pt>
                <c:pt idx="5">
                  <c:v>3000.6000000000004</c:v>
                </c:pt>
                <c:pt idx="6">
                  <c:v>3353.59</c:v>
                </c:pt>
                <c:pt idx="7">
                  <c:v>3000.37</c:v>
                </c:pt>
                <c:pt idx="8">
                  <c:v>3495.3999999999996</c:v>
                </c:pt>
                <c:pt idx="9">
                  <c:v>4171.46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9-4E80-9210-8CBEC086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590992"/>
        <c:axId val="461593392"/>
      </c:barChart>
      <c:catAx>
        <c:axId val="46159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93392"/>
        <c:crosses val="autoZero"/>
        <c:auto val="1"/>
        <c:lblAlgn val="ctr"/>
        <c:lblOffset val="100"/>
        <c:noMultiLvlLbl val="0"/>
      </c:catAx>
      <c:valAx>
        <c:axId val="46159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9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23446</xdr:colOff>
      <xdr:row>9</xdr:row>
      <xdr:rowOff>9526</xdr:rowOff>
    </xdr:from>
    <xdr:to>
      <xdr:col>4</xdr:col>
      <xdr:colOff>13921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F4CB69-6733-C77B-D4A0-2C1750508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289413</xdr:colOff>
      <xdr:row>8</xdr:row>
      <xdr:rowOff>164123</xdr:rowOff>
    </xdr:from>
    <xdr:to>
      <xdr:col>13</xdr:col>
      <xdr:colOff>289413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A3146F-64D8-4318-A1CA-0A4433926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5863</xdr:colOff>
      <xdr:row>9</xdr:row>
      <xdr:rowOff>177164</xdr:rowOff>
    </xdr:from>
    <xdr:to>
      <xdr:col>20</xdr:col>
      <xdr:colOff>187571</xdr:colOff>
      <xdr:row>19</xdr:row>
      <xdr:rowOff>164123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14D3B9-A2C6-44DD-8C4B-B59EE1611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310523</xdr:colOff>
      <xdr:row>9</xdr:row>
      <xdr:rowOff>9526</xdr:rowOff>
    </xdr:from>
    <xdr:to>
      <xdr:col>8</xdr:col>
      <xdr:colOff>797169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0D5501-E497-F4A0-555F-63904A158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6457</xdr:colOff>
      <xdr:row>25</xdr:row>
      <xdr:rowOff>167898</xdr:rowOff>
    </xdr:from>
    <xdr:to>
      <xdr:col>13</xdr:col>
      <xdr:colOff>348712</xdr:colOff>
      <xdr:row>40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3E2858-8A1B-1D46-88BE-F02687B1C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naz mohamed" refreshedDate="46090.13117789352" createdVersion="8" refreshedVersion="8" minRefreshableVersion="3" recordCount="501" xr:uid="{3351BC9C-02CE-48DD-B8FC-48F15C00B353}">
  <cacheSource type="worksheet">
    <worksheetSource ref="A1:R1048576" sheet="CLEANED"/>
  </cacheSource>
  <cacheFields count="21">
    <cacheField name="Order ID" numFmtId="0">
      <sharedItems containsBlank="1"/>
    </cacheField>
    <cacheField name="order date" numFmtId="0">
      <sharedItems containsNonDate="0" containsDate="1" containsString="0" containsBlank="1" minDate="2022-01-01T00:00:00" maxDate="2024-12-03T00:00:00" count="322">
        <m/>
        <d v="2022-08-12T00:00:00"/>
        <d v="2022-10-12T00:00:00"/>
        <d v="2022-03-22T00:00:00"/>
        <d v="2024-01-17T00:00:00"/>
        <d v="2023-08-04T00:00:00"/>
        <d v="2022-08-13T00:00:00"/>
        <d v="2022-09-15T00:00:00"/>
        <d v="2024-03-08T00:00:00"/>
        <d v="2023-11-19T00:00:00"/>
        <d v="2023-10-09T00:00:00"/>
        <d v="2024-03-14T00:00:00"/>
        <d v="2022-12-14T00:00:00"/>
        <d v="2023-10-30T00:00:00"/>
        <d v="2022-09-29T00:00:00"/>
        <d v="2022-03-05T00:00:00"/>
        <d v="2023-05-16T00:00:00"/>
        <d v="2022-10-01T00:00:00"/>
        <d v="2024-03-26T00:00:00"/>
        <d v="2022-12-25T00:00:00"/>
        <d v="2022-04-29T00:00:00"/>
        <d v="2022-11-18T00:00:00"/>
        <d v="2024-02-06T00:00:00"/>
        <d v="2024-04-05T00:00:00"/>
        <d v="2022-05-17T00:00:00"/>
        <d v="2024-02-01T00:00:00"/>
        <d v="2022-11-24T00:00:00"/>
        <d v="2024-05-02T00:00:00"/>
        <d v="2023-10-21T00:00:00"/>
        <d v="2024-05-04T00:00:00"/>
        <d v="2022-06-06T00:00:00"/>
        <d v="2022-04-21T00:00:00"/>
        <d v="2023-07-09T00:00:00"/>
        <d v="2022-10-13T00:00:00"/>
        <d v="2023-12-30T00:00:00"/>
        <d v="2024-01-12T00:00:00"/>
        <d v="2022-09-16T00:00:00"/>
        <d v="2023-07-26T00:00:00"/>
        <d v="2022-02-03T00:00:00"/>
        <d v="2022-02-06T00:00:00"/>
        <d v="2023-02-17T00:00:00"/>
        <d v="2024-05-06T00:00:00"/>
        <d v="2023-03-23T00:00:00"/>
        <d v="2023-07-18T00:00:00"/>
        <d v="2023-06-15T00:00:00"/>
        <d v="2023-09-16T00:00:00"/>
        <d v="2023-12-24T00:00:00"/>
        <d v="2024-02-03T00:00:00"/>
        <d v="2022-12-07T00:00:00"/>
        <d v="2023-04-30T00:00:00"/>
        <d v="2023-06-23T00:00:00"/>
        <d v="2024-05-22T00:00:00"/>
        <d v="2022-04-11T00:00:00"/>
        <d v="2022-09-18T00:00:00"/>
        <d v="2022-01-09T00:00:00"/>
        <d v="2022-09-14T00:00:00"/>
        <d v="2024-02-05T00:00:00"/>
        <d v="2023-04-25T00:00:00"/>
        <d v="2022-03-06T00:00:00"/>
        <d v="2023-10-04T00:00:00"/>
        <d v="2023-02-22T00:00:00"/>
        <d v="2022-07-14T00:00:00"/>
        <d v="2022-08-10T00:00:00"/>
        <d v="2023-06-01T00:00:00"/>
        <d v="2023-03-13T00:00:00"/>
        <d v="2023-06-02T00:00:00"/>
        <d v="2023-02-03T00:00:00"/>
        <d v="2024-02-02T00:00:00"/>
        <d v="2023-09-07T00:00:00"/>
        <d v="2022-12-16T00:00:00"/>
        <d v="2023-03-30T00:00:00"/>
        <d v="2023-11-15T00:00:00"/>
        <d v="2022-03-21T00:00:00"/>
        <d v="2023-03-24T00:00:00"/>
        <d v="2023-06-07T00:00:00"/>
        <d v="2023-03-29T00:00:00"/>
        <d v="2023-01-09T00:00:00"/>
        <d v="2023-04-07T00:00:00"/>
        <d v="2023-01-02T00:00:00"/>
        <d v="2023-11-11T00:00:00"/>
        <d v="2023-12-21T00:00:00"/>
        <d v="2022-06-08T00:00:00"/>
        <d v="2024-05-01T00:00:00"/>
        <d v="2024-04-08T00:00:00"/>
        <d v="2023-04-06T00:00:00"/>
        <d v="2023-01-19T00:00:00"/>
        <d v="2022-01-20T00:00:00"/>
        <d v="2023-09-22T00:00:00"/>
        <d v="2023-07-14T00:00:00"/>
        <d v="2022-02-18T00:00:00"/>
        <d v="2024-01-15T00:00:00"/>
        <d v="2024-01-05T00:00:00"/>
        <d v="2023-06-10T00:00:00"/>
        <d v="2022-10-07T00:00:00"/>
        <d v="2022-05-06T00:00:00"/>
        <d v="2023-12-28T00:00:00"/>
        <d v="2022-03-30T00:00:00"/>
        <d v="2023-04-23T00:00:00"/>
        <d v="2022-06-18T00:00:00"/>
        <d v="2023-01-07T00:00:00"/>
        <d v="2022-02-16T00:00:00"/>
        <d v="2022-09-08T00:00:00"/>
        <d v="2024-05-31T00:00:00"/>
        <d v="2024-06-19T00:00:00"/>
        <d v="2023-09-04T00:00:00"/>
        <d v="2023-06-16T00:00:00"/>
        <d v="2024-04-28T00:00:00"/>
        <d v="2024-06-12T00:00:00"/>
        <d v="2023-08-10T00:00:00"/>
        <d v="2022-05-22T00:00:00"/>
        <d v="2023-11-05T00:00:00"/>
        <d v="2023-07-28T00:00:00"/>
        <d v="2023-06-28T00:00:00"/>
        <d v="2023-10-29T00:00:00"/>
        <d v="2022-07-02T00:00:00"/>
        <d v="2024-05-21T00:00:00"/>
        <d v="2023-08-05T00:00:00"/>
        <d v="2022-12-09T00:00:00"/>
        <d v="2023-08-21T00:00:00"/>
        <d v="2022-01-23T00:00:00"/>
        <d v="2023-02-23T00:00:00"/>
        <d v="2024-05-30T00:00:00"/>
        <d v="2022-07-31T00:00:00"/>
        <d v="2023-05-31T00:00:00"/>
        <d v="2022-03-04T00:00:00"/>
        <d v="2023-01-21T00:00:00"/>
        <d v="2022-06-09T00:00:00"/>
        <d v="2022-07-12T00:00:00"/>
        <d v="2024-12-02T00:00:00"/>
        <d v="2022-09-25T00:00:00"/>
        <d v="2024-02-21T00:00:00"/>
        <d v="2022-02-04T00:00:00"/>
        <d v="2022-03-03T00:00:00"/>
        <d v="2023-02-20T00:00:00"/>
        <d v="2024-04-20T00:00:00"/>
        <d v="2024-03-02T00:00:00"/>
        <d v="2022-03-17T00:00:00"/>
        <d v="2022-05-16T00:00:00"/>
        <d v="2022-01-13T00:00:00"/>
        <d v="2022-05-30T00:00:00"/>
        <d v="2022-04-20T00:00:00"/>
        <d v="2023-09-01T00:00:00"/>
        <d v="2022-03-12T00:00:00"/>
        <d v="2023-11-12T00:00:00"/>
        <d v="2024-02-04T00:00:00"/>
        <d v="2022-04-18T00:00:00"/>
        <d v="2024-10-01T00:00:00"/>
        <d v="2022-06-13T00:00:00"/>
        <d v="2022-05-01T00:00:00"/>
        <d v="2023-11-18T00:00:00"/>
        <d v="2023-08-28T00:00:00"/>
        <d v="2023-01-28T00:00:00"/>
        <d v="2022-01-10T00:00:00"/>
        <d v="2023-08-02T00:00:00"/>
        <d v="2024-03-04T00:00:00"/>
        <d v="2024-04-13T00:00:00"/>
        <d v="2024-08-02T00:00:00"/>
        <d v="2023-10-10T00:00:00"/>
        <d v="2022-01-03T00:00:00"/>
        <d v="2022-12-12T00:00:00"/>
        <d v="2023-03-28T00:00:00"/>
        <d v="2022-08-20T00:00:00"/>
        <d v="2022-12-26T00:00:00"/>
        <d v="2022-08-09T00:00:00"/>
        <d v="2023-06-21T00:00:00"/>
        <d v="2024-05-28T00:00:00"/>
        <d v="2022-08-17T00:00:00"/>
        <d v="2022-10-26T00:00:00"/>
        <d v="2022-09-01T00:00:00"/>
        <d v="2022-04-08T00:00:00"/>
        <d v="2023-02-21T00:00:00"/>
        <d v="2024-05-05T00:00:00"/>
        <d v="2023-08-24T00:00:00"/>
        <d v="2023-03-20T00:00:00"/>
        <d v="2022-10-30T00:00:00"/>
        <d v="2024-03-11T00:00:00"/>
        <d v="2024-04-10T00:00:00"/>
        <d v="2023-10-11T00:00:00"/>
        <d v="2023-11-13T00:00:00"/>
        <d v="2022-08-15T00:00:00"/>
        <d v="2022-08-03T00:00:00"/>
        <d v="2023-01-20T00:00:00"/>
        <d v="2022-02-20T00:00:00"/>
        <d v="2023-01-15T00:00:00"/>
        <d v="2023-11-16T00:00:00"/>
        <d v="2022-03-11T00:00:00"/>
        <d v="2024-07-04T00:00:00"/>
        <d v="2023-02-02T00:00:00"/>
        <d v="2022-06-01T00:00:00"/>
        <d v="2024-04-25T00:00:00"/>
        <d v="2022-11-15T00:00:00"/>
        <d v="2023-12-23T00:00:00"/>
        <d v="2024-10-06T00:00:00"/>
        <d v="2024-09-03T00:00:00"/>
        <d v="2024-03-31T00:00:00"/>
        <d v="2022-10-11T00:00:00"/>
        <d v="2023-01-03T00:00:00"/>
        <d v="2022-04-02T00:00:00"/>
        <d v="2023-10-12T00:00:00"/>
        <d v="2023-03-16T00:00:00"/>
        <d v="2023-12-12T00:00:00"/>
        <d v="2023-12-05T00:00:00"/>
        <d v="2023-03-07T00:00:00"/>
        <d v="2023-05-25T00:00:00"/>
        <d v="2022-08-29T00:00:00"/>
        <d v="2022-10-31T00:00:00"/>
        <d v="2022-12-21T00:00:00"/>
        <d v="2022-09-04T00:00:00"/>
        <d v="2022-10-04T00:00:00"/>
        <d v="2023-07-04T00:00:00"/>
        <d v="2023-08-08T00:00:00"/>
        <d v="2023-02-01T00:00:00"/>
        <d v="2022-09-28T00:00:00"/>
        <d v="2024-03-19T00:00:00"/>
        <d v="2024-04-02T00:00:00"/>
        <d v="2022-12-06T00:00:00"/>
        <d v="2022-04-28T00:00:00"/>
        <d v="2023-08-18T00:00:00"/>
        <d v="2023-08-22T00:00:00"/>
        <d v="2023-11-27T00:00:00"/>
        <d v="2023-07-07T00:00:00"/>
        <d v="2022-01-11T00:00:00"/>
        <d v="2022-02-11T00:00:00"/>
        <d v="2023-06-11T00:00:00"/>
        <d v="2023-01-23T00:00:00"/>
        <d v="2023-02-11T00:00:00"/>
        <d v="2022-10-10T00:00:00"/>
        <d v="2023-09-21T00:00:00"/>
        <d v="2022-03-23T00:00:00"/>
        <d v="2024-05-20T00:00:00"/>
        <d v="2022-01-01T00:00:00"/>
        <d v="2024-04-29T00:00:00"/>
        <d v="2023-06-03T00:00:00"/>
        <d v="2022-09-07T00:00:00"/>
        <d v="2023-02-27T00:00:00"/>
        <d v="2022-07-07T00:00:00"/>
        <d v="2022-05-04T00:00:00"/>
        <d v="2022-03-10T00:00:00"/>
        <d v="2022-05-15T00:00:00"/>
        <d v="2023-08-03T00:00:00"/>
        <d v="2024-06-07T00:00:00"/>
        <d v="2023-01-26T00:00:00"/>
        <d v="2022-06-15T00:00:00"/>
        <d v="2024-05-24T00:00:00"/>
        <d v="2024-02-29T00:00:00"/>
        <d v="2023-04-09T00:00:00"/>
        <d v="2023-04-05T00:00:00"/>
        <d v="2024-03-01T00:00:00"/>
        <d v="2022-06-07T00:00:00"/>
        <d v="2023-01-16T00:00:00"/>
        <d v="2022-12-08T00:00:00"/>
        <d v="2023-09-03T00:00:00"/>
        <d v="2023-05-15T00:00:00"/>
        <d v="2022-11-26T00:00:00"/>
        <d v="2023-10-20T00:00:00"/>
        <d v="2022-04-19T00:00:00"/>
        <d v="2024-02-24T00:00:00"/>
        <d v="2022-07-01T00:00:00"/>
        <d v="2022-12-31T00:00:00"/>
        <d v="2022-11-29T00:00:00"/>
        <d v="2022-09-12T00:00:00"/>
        <d v="2022-12-02T00:00:00"/>
        <d v="2023-12-16T00:00:00"/>
        <d v="2024-03-06T00:00:00"/>
        <d v="2022-11-09T00:00:00"/>
        <d v="2024-01-28T00:00:00"/>
        <d v="2023-05-07T00:00:00"/>
        <d v="2023-04-14T00:00:00"/>
        <d v="2023-05-29T00:00:00"/>
        <d v="2024-01-18T00:00:00"/>
        <d v="2024-08-03T00:00:00"/>
        <d v="2024-04-27T00:00:00"/>
        <d v="2022-11-28T00:00:00"/>
        <d v="2024-02-26T00:00:00"/>
        <d v="2022-08-11T00:00:00"/>
        <d v="2022-02-26T00:00:00"/>
        <d v="2023-11-08T00:00:00"/>
        <d v="2023-03-14T00:00:00"/>
        <d v="2023-08-09T00:00:00"/>
        <d v="2022-01-07T00:00:00"/>
        <d v="2022-05-20T00:00:00"/>
        <d v="2023-08-15T00:00:00"/>
        <d v="2022-11-12T00:00:00"/>
        <d v="2023-04-24T00:00:00"/>
        <d v="2022-11-23T00:00:00"/>
        <d v="2022-04-26T00:00:00"/>
        <d v="2023-06-30T00:00:00"/>
        <d v="2022-05-31T00:00:00"/>
        <d v="2022-03-28T00:00:00"/>
        <d v="2023-04-29T00:00:00"/>
        <d v="2022-06-23T00:00:00"/>
        <d v="2024-03-12T00:00:00"/>
        <d v="2023-03-05T00:00:00"/>
        <d v="2023-12-01T00:00:00"/>
        <d v="2022-05-28T00:00:00"/>
        <d v="2023-12-14T00:00:00"/>
        <d v="2022-05-02T00:00:00"/>
        <d v="2023-09-26T00:00:00"/>
        <d v="2022-04-13T00:00:00"/>
        <d v="2022-05-10T00:00:00"/>
        <d v="2022-01-04T00:00:00"/>
        <d v="2023-08-17T00:00:00"/>
        <d v="2022-07-18T00:00:00"/>
        <d v="2023-04-27T00:00:00"/>
        <d v="2023-10-01T00:00:00"/>
        <d v="2023-05-05T00:00:00"/>
        <d v="2023-10-05T00:00:00"/>
        <d v="2023-07-03T00:00:00"/>
        <d v="2023-12-07T00:00:00"/>
        <d v="2022-08-01T00:00:00"/>
        <d v="2023-04-19T00:00:00"/>
        <d v="2022-01-28T00:00:00"/>
        <d v="2022-06-16T00:00:00"/>
        <d v="2023-06-27T00:00:00"/>
        <d v="2023-07-02T00:00:00"/>
        <d v="2022-05-12T00:00:00"/>
        <d v="2022-07-21T00:00:00"/>
        <d v="2023-09-09T00:00:00"/>
        <d v="2023-08-07T00:00:00"/>
        <d v="2023-04-13T00:00:00"/>
        <d v="2022-01-14T00:00:00"/>
        <d v="2023-01-08T00:00:00"/>
      </sharedItems>
      <fieldGroup par="20"/>
    </cacheField>
    <cacheField name="Ship Date" numFmtId="0">
      <sharedItems containsNonDate="0" containsDate="1" containsString="0" containsBlank="1" minDate="2022-01-04T00:00:00" maxDate="2024-06-25T00:00:00"/>
    </cacheField>
    <cacheField name="Customer Name" numFmtId="0">
      <sharedItems containsBlank="1"/>
    </cacheField>
    <cacheField name="Segment" numFmtId="0">
      <sharedItems containsBlank="1" count="4">
        <s v="Home Office"/>
        <s v="Consumer"/>
        <s v="Corporat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Region" numFmtId="0">
      <sharedItems containsBlank="1" count="5">
        <s v="East"/>
        <s v="South"/>
        <s v="West"/>
        <s v="Central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 count="300">
        <s v="Bookcases Model 6"/>
        <s v="Storage Model 22"/>
        <s v="Tables Model 25"/>
        <s v="Copiers Model 7"/>
        <s v="Copiers Model 35"/>
        <s v="Tables Model 14"/>
        <s v="Bookcases Model 24"/>
        <s v="Paper Model 34"/>
        <s v="Bookcases Model 47"/>
        <s v="Binders Model 35"/>
        <s v="Bookcases Model 5"/>
        <s v="Chairs Model 26"/>
        <s v="Copiers Model 46"/>
        <s v="Chairs Model 16"/>
        <s v="Phones Model 47"/>
        <s v="Chairs Model 4"/>
        <s v="Chairs Model 25"/>
        <s v="Accessories Model 4"/>
        <s v="Copiers Model 26"/>
        <s v="Bookcases Model 16"/>
        <s v="Bookcases Model 33"/>
        <s v="Phones Model 43"/>
        <s v="Phones Model 33"/>
        <s v="Chairs Model 36"/>
        <s v="Phones Model 12"/>
        <s v="Bookcases Model 30"/>
        <s v="Chairs Model 2"/>
        <s v="Bookcases Model 25"/>
        <s v="Phones Model 40"/>
        <s v="Paper Model 44"/>
        <s v="Storage Model 29"/>
        <s v="Paper Model 15"/>
        <s v="Chairs Model 32"/>
        <s v="Storage Model 11"/>
        <s v="Accessories Model 22"/>
        <s v="Chairs Model 14"/>
        <s v="Copiers Model 32"/>
        <s v="Accessories Model 6"/>
        <s v="Tables Model 17"/>
        <s v="Tables Model 20"/>
        <s v="Tables Model 44"/>
        <s v="Binders Model 24"/>
        <s v="Binders Model 6"/>
        <s v="Tables Model 22"/>
        <s v="Paper Model 42"/>
        <s v="Phones Model 23"/>
        <s v="Accessories Model 18"/>
        <s v="Storage Model 4"/>
        <s v="Binders Model 4"/>
        <s v="Chairs Model 8"/>
        <s v="Storage Model 40"/>
        <s v="Bookcases Model 19"/>
        <s v="Copiers Model 42"/>
        <s v="Chairs Model 45"/>
        <s v="Storage Model 44"/>
        <s v="Binders Model 38"/>
        <s v="Tables Model 49"/>
        <s v="Phones Model 13"/>
        <s v="Paper Model 41"/>
        <s v="Binders Model 33"/>
        <s v="Copiers Model 23"/>
        <s v="Paper Model 48"/>
        <s v="Bookcases Model 22"/>
        <s v="Accessories Model 28"/>
        <s v="Phones Model 34"/>
        <s v="Binders Model 41"/>
        <s v="Copiers Model 45"/>
        <s v="Phones Model 18"/>
        <s v="Binders Model 21"/>
        <s v="Chairs Model 44"/>
        <s v="Paper Model 25"/>
        <s v="Bookcases Model 18"/>
        <s v="Phones Model 38"/>
        <s v="Phones Model 9"/>
        <s v="Bookcases Model 50"/>
        <s v="Binders Model 26"/>
        <s v="Copiers Model 30"/>
        <s v="Phones Model 26"/>
        <s v="Accessories Model 7"/>
        <s v="Phones Model 37"/>
        <s v="Chairs Model 30"/>
        <s v="Copiers Model 34"/>
        <s v="Chairs Model 1"/>
        <s v="Paper Model 6"/>
        <s v="Tables Model 34"/>
        <s v="Accessories Model 12"/>
        <s v="Copiers Model 31"/>
        <s v="Copiers Model 40"/>
        <s v="Copiers Model 19"/>
        <s v="Copiers Model 38"/>
        <s v="Accessories Model 43"/>
        <s v="Bookcases Model 9"/>
        <s v="Bookcases Model 20"/>
        <s v="Tables Model 39"/>
        <s v="Tables Model 6"/>
        <s v="Chairs Model 41"/>
        <s v="Phones Model 1"/>
        <s v="Bookcases Model 3"/>
        <s v="Accessories Model 23"/>
        <s v="Binders Model 3"/>
        <s v="Tables Model 50"/>
        <s v="Phones Model 6"/>
        <s v="Accessories Model 48"/>
        <s v="Paper Model 13"/>
        <s v="Tables Model 46"/>
        <s v="Accessories Model 29"/>
        <s v="Phones Model 20"/>
        <s v="Storage Model 6"/>
        <s v="Accessories Model 47"/>
        <s v="Phones Model 7"/>
        <s v="Phones Model 32"/>
        <s v="Copiers Model 37"/>
        <s v="Paper Model 31"/>
        <s v="Paper Model 47"/>
        <s v="Paper Model 3"/>
        <s v="Chairs Model 46"/>
        <s v="Bookcases Model 40"/>
        <s v="Tables Model 23"/>
        <s v="Paper Model 43"/>
        <s v="Binders Model 31"/>
        <s v="Accessories Model 19"/>
        <s v="Bookcases Model 21"/>
        <s v="Accessories Model 31"/>
        <s v="Storage Model 34"/>
        <s v="Bookcases Model 46"/>
        <s v="Phones Model 19"/>
        <s v="Bookcases Model 42"/>
        <s v="Chairs Model 35"/>
        <s v="Tables Model 16"/>
        <s v="Storage Model 20"/>
        <s v="Tables Model 5"/>
        <s v="Storage Model 48"/>
        <s v="Paper Model 2"/>
        <s v="Storage Model 17"/>
        <s v="Storage Model 35"/>
        <s v="Storage Model 18"/>
        <s v="Phones Model 49"/>
        <s v="Tables Model 33"/>
        <s v="Chairs Model 29"/>
        <s v="Accessories Model 32"/>
        <s v="Tables Model 30"/>
        <s v="Phones Model 39"/>
        <s v="Accessories Model 26"/>
        <s v="Binders Model 45"/>
        <s v="Paper Model 38"/>
        <s v="Storage Model 43"/>
        <s v="Storage Model 31"/>
        <s v="Phones Model 29"/>
        <s v="Phones Model 36"/>
        <s v="Binders Model 37"/>
        <s v="Chairs Model 6"/>
        <s v="Tables Model 18"/>
        <s v="Copiers Model 29"/>
        <s v="Tables Model 37"/>
        <s v="Paper Model 19"/>
        <s v="Binders Model 11"/>
        <s v="Tables Model 43"/>
        <s v="Tables Model 38"/>
        <s v="Tables Model 29"/>
        <s v="Storage Model 23"/>
        <s v="Binders Model 34"/>
        <s v="Chairs Model 18"/>
        <s v="Bookcases Model 4"/>
        <s v="Phones Model 11"/>
        <s v="Copiers Model 17"/>
        <s v="Storage Model 12"/>
        <s v="Tables Model 13"/>
        <s v="Copiers Model 27"/>
        <s v="Bookcases Model 26"/>
        <s v="Accessories Model 21"/>
        <s v="Paper Model 14"/>
        <s v="Chairs Model 38"/>
        <s v="Chairs Model 37"/>
        <s v="Phones Model 42"/>
        <s v="Copiers Model 25"/>
        <s v="Copiers Model 2"/>
        <s v="Accessories Model 37"/>
        <s v="Paper Model 40"/>
        <s v="Binders Model 15"/>
        <s v="Tables Model 40"/>
        <s v="Copiers Model 22"/>
        <s v="Bookcases Model 39"/>
        <s v="Chairs Model 7"/>
        <s v="Storage Model 2"/>
        <s v="Paper Model 12"/>
        <s v="Copiers Model 14"/>
        <s v="Copiers Model 10"/>
        <s v="Storage Model 42"/>
        <s v="Paper Model 4"/>
        <s v="Accessories Model 50"/>
        <s v="Copiers Model 5"/>
        <s v="Phones Model 24"/>
        <s v="Storage Model 37"/>
        <s v="Phones Model 31"/>
        <s v="Storage Model 9"/>
        <s v="Copiers Model 21"/>
        <s v="Tables Model 26"/>
        <s v="Phones Model 15"/>
        <s v="Phones Model 28"/>
        <s v="Accessories Model 38"/>
        <s v="Tables Model 42"/>
        <s v="Storage Model 7"/>
        <s v="Binders Model 22"/>
        <s v="Storage Model 26"/>
        <s v="Accessories Model 8"/>
        <s v="Tables Model 7"/>
        <s v="Chairs Model 50"/>
        <s v="Storage Model 45"/>
        <s v="Chairs Model 40"/>
        <s v="Paper Model 50"/>
        <s v="Accessories Model 36"/>
        <s v="Bookcases Model 32"/>
        <s v="Bookcases Model 29"/>
        <s v="Accessories Model 14"/>
        <s v="Paper Model 46"/>
        <s v="Chairs Model 28"/>
        <s v="Storage Model 47"/>
        <s v="Accessories Model 45"/>
        <s v="Accessories Model 17"/>
        <s v="Phones Model 3"/>
        <s v="Bookcases Model 34"/>
        <s v="Chairs Model 31"/>
        <s v="Bookcases Model 31"/>
        <s v="Copiers Model 15"/>
        <s v="Tables Model 45"/>
        <s v="Binders Model 36"/>
        <s v="Tables Model 24"/>
        <s v="Bookcases Model 13"/>
        <s v="Tables Model 47"/>
        <s v="Paper Model 27"/>
        <s v="Binders Model 50"/>
        <s v="Accessories Model 30"/>
        <s v="Accessories Model 16"/>
        <s v="Paper Model 37"/>
        <s v="Binders Model 12"/>
        <s v="Tables Model 12"/>
        <s v="Bookcases Model 2"/>
        <s v="Binders Model 9"/>
        <s v="Accessories Model 49"/>
        <s v="Tables Model 11"/>
        <s v="Phones Model 5"/>
        <s v="Phones Model 35"/>
        <s v="Tables Model 32"/>
        <s v="Binders Model 25"/>
        <s v="Bookcases Model 45"/>
        <s v="Paper Model 5"/>
        <s v="Bookcases Model 37"/>
        <s v="Copiers Model 20"/>
        <s v="Binders Model 48"/>
        <s v="Accessories Model 25"/>
        <s v="Paper Model 20"/>
        <s v="Accessories Model 34"/>
        <s v="Storage Model 19"/>
        <s v="Copiers Model 50"/>
        <s v="Copiers Model 8"/>
        <s v="Bookcases Model 48"/>
        <s v="Bookcases Model 17"/>
        <s v="Paper Model 33"/>
        <s v="Binders Model 16"/>
        <s v="Storage Model 14"/>
        <s v="Storage Model 21"/>
        <s v="Storage Model 10"/>
        <s v="Chairs Model 23"/>
        <s v="Storage Model 3"/>
        <s v="Paper Model 10"/>
        <s v="Storage Model 49"/>
        <s v="Bookcases Model 14"/>
        <s v="Chairs Model 10"/>
        <s v="Bookcases Model 35"/>
        <s v="Accessories Model 20"/>
        <s v="Copiers Model 28"/>
        <s v="Copiers Model 6"/>
        <s v="Storage Model 13"/>
        <s v="Accessories Model 9"/>
        <s v="Binders Model 46"/>
        <s v="Paper Model 16"/>
        <s v="Phones Model 17"/>
        <s v="Phones Model 16"/>
        <s v="Storage Model 5"/>
        <s v="Phones Model 2"/>
        <s v="Bookcases Model 7"/>
        <s v="Tables Model 9"/>
        <s v="Phones Model 45"/>
        <s v="Phones Model 25"/>
        <s v="Copiers Model 47"/>
        <s v="Bookcases Model 38"/>
        <s v="Binders Model 42"/>
        <s v="Copiers Model 13"/>
        <s v="Accessories Model 5"/>
        <s v="Chairs Model 12"/>
        <s v="Binders Model 32"/>
        <s v="Paper Model 21"/>
        <s v="Binders Model 13"/>
        <s v="Copiers Model 36"/>
        <s v="Chairs Model 15"/>
        <s v="Chairs Model 19"/>
        <s v="Binders Model 7"/>
        <s v="Bookcases Model 8"/>
        <s v="Binders Model 5"/>
        <m/>
      </sharedItems>
    </cacheField>
    <cacheField name="Sales" numFmtId="0">
      <sharedItems containsString="0" containsBlank="1" containsNumber="1" minValue="21.02" maxValue="1199.52" count="501">
        <n v="344.53"/>
        <n v="51.31"/>
        <n v="140.61000000000001"/>
        <n v="749.85"/>
        <n v="1004.25"/>
        <n v="467.76"/>
        <n v="609.09"/>
        <n v="127.27"/>
        <n v="870.45"/>
        <n v="619.05999999999995"/>
        <n v="402.5"/>
        <n v="798.51"/>
        <n v="552.75"/>
        <n v="1088.4000000000001"/>
        <n v="131.30000000000001"/>
        <n v="244.45"/>
        <n v="1113.1099999999999"/>
        <n v="841.98"/>
        <n v="1104.8800000000001"/>
        <n v="721.53"/>
        <n v="781.69"/>
        <n v="1057.54"/>
        <n v="1069.8599999999999"/>
        <n v="768.46"/>
        <n v="1086.6400000000001"/>
        <n v="824.84"/>
        <n v="1110.9000000000001"/>
        <n v="47.92"/>
        <n v="1155.79"/>
        <n v="856.37"/>
        <n v="618.4"/>
        <n v="375.12"/>
        <n v="956.61"/>
        <n v="74.53"/>
        <n v="831.39"/>
        <n v="1185.71"/>
        <n v="907.1"/>
        <n v="197.98"/>
        <n v="1136.3499999999999"/>
        <n v="54.25"/>
        <n v="234.44"/>
        <n v="903.85"/>
        <n v="809.96"/>
        <n v="699.44"/>
        <n v="429.7"/>
        <n v="533.87"/>
        <n v="692.42"/>
        <n v="675.83"/>
        <n v="129.80000000000001"/>
        <n v="316.66000000000003"/>
        <n v="353.94"/>
        <n v="772.69"/>
        <n v="492.83"/>
        <n v="953.07"/>
        <n v="269.01"/>
        <n v="353.61"/>
        <n v="90.37"/>
        <n v="602.67999999999995"/>
        <n v="1199.5"/>
        <n v="430.59"/>
        <n v="391.13"/>
        <n v="757.98"/>
        <n v="386.69"/>
        <n v="1176.69"/>
        <n v="335.26"/>
        <n v="557.30999999999995"/>
        <n v="955.02"/>
        <n v="190.1"/>
        <n v="759.62"/>
        <n v="838.92"/>
        <n v="220.58"/>
        <n v="31.09"/>
        <n v="1199.26"/>
        <n v="1168.8499999999999"/>
        <n v="1086.02"/>
        <n v="175.95"/>
        <n v="1034.97"/>
        <n v="990.45"/>
        <n v="786.1"/>
        <n v="841.85"/>
        <n v="457.23"/>
        <n v="802.07"/>
        <n v="950.6"/>
        <n v="402.05"/>
        <n v="553.37"/>
        <n v="1093.45"/>
        <n v="955.85"/>
        <n v="388.78"/>
        <n v="90.78"/>
        <n v="701.94"/>
        <n v="744.02"/>
        <n v="688.26"/>
        <n v="871.48"/>
        <n v="541.61"/>
        <n v="486.41"/>
        <n v="468.64"/>
        <n v="696.61"/>
        <n v="714.87"/>
        <n v="878.31"/>
        <n v="916.66"/>
        <n v="86.28"/>
        <n v="704.79"/>
        <n v="119.51"/>
        <n v="725.51"/>
        <n v="1161.8800000000001"/>
        <n v="811.14"/>
        <n v="619.07000000000005"/>
        <n v="536.45000000000005"/>
        <n v="820.4"/>
        <n v="587.1"/>
        <n v="128.22"/>
        <n v="1118.3699999999999"/>
        <n v="667.59"/>
        <n v="150.81"/>
        <n v="511.55"/>
        <n v="901.83"/>
        <n v="999.85"/>
        <n v="1121.3800000000001"/>
        <n v="963.22"/>
        <n v="730.89"/>
        <n v="543.80999999999995"/>
        <n v="1021.43"/>
        <n v="920.44"/>
        <n v="1097.98"/>
        <n v="223.73"/>
        <n v="284.61"/>
        <n v="1199.52"/>
        <n v="1055.99"/>
        <n v="286.05"/>
        <n v="218.99"/>
        <n v="268.75"/>
        <n v="106.11"/>
        <n v="917.58"/>
        <n v="513.4"/>
        <n v="126.26"/>
        <n v="29.65"/>
        <n v="360.55"/>
        <n v="910.86"/>
        <n v="1073.9000000000001"/>
        <n v="856.31"/>
        <n v="333.33"/>
        <n v="540.42999999999995"/>
        <n v="403.56"/>
        <n v="678.54"/>
        <n v="696.7"/>
        <n v="272.5"/>
        <n v="81.94"/>
        <n v="356.79"/>
        <n v="1125.2"/>
        <n v="247.52"/>
        <n v="1030.25"/>
        <n v="297.92"/>
        <n v="208.47"/>
        <n v="460.88"/>
        <n v="152.41"/>
        <n v="545.66999999999996"/>
        <n v="900.05"/>
        <n v="1174.43"/>
        <n v="1191.56"/>
        <n v="428.47"/>
        <n v="59.62"/>
        <n v="699.81"/>
        <n v="1095.6600000000001"/>
        <n v="304.33999999999997"/>
        <n v="783.11"/>
        <n v="679.44"/>
        <n v="733.19"/>
        <n v="569.88"/>
        <n v="869.61"/>
        <n v="892.72"/>
        <n v="921.92"/>
        <n v="1122.01"/>
        <n v="815.36"/>
        <n v="1151.97"/>
        <n v="581.69000000000005"/>
        <n v="1110.51"/>
        <n v="211.69"/>
        <n v="535.76"/>
        <n v="1130.55"/>
        <n v="468.4"/>
        <n v="549.64"/>
        <n v="939.42"/>
        <n v="345.64"/>
        <n v="1139.6099999999999"/>
        <n v="229.61"/>
        <n v="718.83"/>
        <n v="184.23"/>
        <n v="513.59"/>
        <n v="742.96"/>
        <n v="831.44"/>
        <n v="156.96"/>
        <n v="374.31"/>
        <n v="1150.99"/>
        <n v="907.74"/>
        <n v="389.82"/>
        <n v="389.56"/>
        <n v="769.89"/>
        <n v="981.95"/>
        <n v="58.58"/>
        <n v="990.68"/>
        <n v="1041.04"/>
        <n v="433.96"/>
        <n v="1043.1199999999999"/>
        <n v="462.7"/>
        <n v="769.11"/>
        <n v="688.05"/>
        <n v="258.74"/>
        <n v="758.21"/>
        <n v="30.96"/>
        <n v="453.72"/>
        <n v="198.62"/>
        <n v="346.82"/>
        <n v="902.46"/>
        <n v="476.47"/>
        <n v="1139.44"/>
        <n v="1106.69"/>
        <n v="554.98"/>
        <n v="943.92"/>
        <n v="1170.56"/>
        <n v="872.88"/>
        <n v="893.99"/>
        <n v="101.33"/>
        <n v="754.81"/>
        <n v="770.41"/>
        <n v="1167.6199999999999"/>
        <n v="987.56"/>
        <n v="340.91"/>
        <n v="1158.27"/>
        <n v="859.17"/>
        <n v="565.21"/>
        <n v="1196.6500000000001"/>
        <n v="471.62"/>
        <n v="585.26"/>
        <n v="942.09"/>
        <n v="644.73"/>
        <n v="1123.54"/>
        <n v="227.16"/>
        <n v="229.4"/>
        <n v="417.14"/>
        <n v="382.05"/>
        <n v="185.96"/>
        <n v="433.57"/>
        <n v="788.14"/>
        <n v="108.5"/>
        <n v="410.69"/>
        <n v="1011.03"/>
        <n v="1172.93"/>
        <n v="546.01"/>
        <n v="1165.43"/>
        <n v="60.98"/>
        <n v="519.58000000000004"/>
        <n v="404.83"/>
        <n v="914.89"/>
        <n v="64.209999999999994"/>
        <n v="43.87"/>
        <n v="511.79"/>
        <n v="941.01"/>
        <n v="991.74"/>
        <n v="432.72"/>
        <n v="285.63"/>
        <n v="737.85"/>
        <n v="140.72999999999999"/>
        <n v="794.22"/>
        <n v="1090.1600000000001"/>
        <n v="1011.95"/>
        <n v="898.17"/>
        <n v="104.03"/>
        <n v="1073.56"/>
        <n v="342.76"/>
        <n v="64.52"/>
        <n v="141.19999999999999"/>
        <n v="443.92"/>
        <n v="859.11"/>
        <n v="156.63"/>
        <n v="338.57"/>
        <n v="937.99"/>
        <n v="125.02"/>
        <n v="137.77000000000001"/>
        <n v="221.2"/>
        <n v="1023.79"/>
        <n v="468.11"/>
        <n v="34.590000000000003"/>
        <n v="1072.6300000000001"/>
        <n v="618.17999999999995"/>
        <n v="790.98"/>
        <n v="993.87"/>
        <n v="439.06"/>
        <n v="162.47999999999999"/>
        <n v="1148.3"/>
        <n v="142.19"/>
        <n v="507.04"/>
        <n v="1107.01"/>
        <n v="1074.76"/>
        <n v="905.22"/>
        <n v="1044.28"/>
        <n v="1159.68"/>
        <n v="229.36"/>
        <n v="1018.3"/>
        <n v="106"/>
        <n v="411.62"/>
        <n v="1151.5"/>
        <n v="71.739999999999995"/>
        <n v="1006.08"/>
        <n v="84.04"/>
        <n v="159.6"/>
        <n v="352.19"/>
        <n v="1066.6300000000001"/>
        <n v="902.99"/>
        <n v="1025.6600000000001"/>
        <n v="171.29"/>
        <n v="450.1"/>
        <n v="545.52"/>
        <n v="1072.68"/>
        <n v="451.67"/>
        <n v="215.7"/>
        <n v="94.18"/>
        <n v="1162.76"/>
        <n v="498.89"/>
        <n v="240.55"/>
        <n v="1003.37"/>
        <n v="1150.72"/>
        <n v="188.4"/>
        <n v="39.54"/>
        <n v="798.08"/>
        <n v="951.68"/>
        <n v="1054.58"/>
        <n v="502.44"/>
        <n v="671.48"/>
        <n v="1028.9000000000001"/>
        <n v="1158.19"/>
        <n v="473.5"/>
        <n v="59.66"/>
        <n v="940.01"/>
        <n v="430.02"/>
        <n v="613.74"/>
        <n v="563.65"/>
        <n v="31.47"/>
        <n v="1137.5999999999999"/>
        <n v="1105.82"/>
        <n v="282.07"/>
        <n v="833.27"/>
        <n v="451.79"/>
        <n v="980.74"/>
        <n v="630.07000000000005"/>
        <n v="133.63999999999999"/>
        <n v="699.56"/>
        <n v="765.42"/>
        <n v="393.92"/>
        <n v="296.86"/>
        <n v="142.63999999999999"/>
        <n v="802.99"/>
        <n v="770.3"/>
        <n v="326.57"/>
        <n v="961.6"/>
        <n v="330.32"/>
        <n v="771.53"/>
        <n v="337.65"/>
        <n v="409.69"/>
        <n v="313.77999999999997"/>
        <n v="762.41"/>
        <n v="532.30999999999995"/>
        <n v="313.49"/>
        <n v="950.5"/>
        <n v="660.43"/>
        <n v="986.91"/>
        <n v="94.74"/>
        <n v="797.49"/>
        <n v="640.47"/>
        <n v="897.3"/>
        <n v="139.44999999999999"/>
        <n v="561.29"/>
        <n v="669.1"/>
        <n v="444.81"/>
        <n v="1029.75"/>
        <n v="453.16"/>
        <n v="994.33"/>
        <n v="1117.69"/>
        <n v="196.5"/>
        <n v="416.68"/>
        <n v="679.97"/>
        <n v="1110.48"/>
        <n v="989.47"/>
        <n v="1113.54"/>
        <n v="637.45000000000005"/>
        <n v="951.24"/>
        <n v="292.77999999999997"/>
        <n v="66.91"/>
        <n v="324.06"/>
        <n v="742.69"/>
        <n v="827.18"/>
        <n v="159.69999999999999"/>
        <n v="238"/>
        <n v="1018.44"/>
        <n v="282.61"/>
        <n v="887.69"/>
        <n v="654.69000000000005"/>
        <n v="518.51"/>
        <n v="179.66"/>
        <n v="165.78"/>
        <n v="1048.1400000000001"/>
        <n v="1153.31"/>
        <n v="555.41"/>
        <n v="1027.52"/>
        <n v="229.35"/>
        <n v="575.55999999999995"/>
        <n v="874.41"/>
        <n v="1062.72"/>
        <n v="432.59"/>
        <n v="422.81"/>
        <n v="563.53"/>
        <n v="1164.1400000000001"/>
        <n v="340.37"/>
        <n v="543.65"/>
        <n v="1191.4100000000001"/>
        <n v="924.09"/>
        <n v="341.73"/>
        <n v="968.72"/>
        <n v="83.48"/>
        <n v="974.97"/>
        <n v="324.5"/>
        <n v="1018"/>
        <n v="507.86"/>
        <n v="298.66000000000003"/>
        <n v="725.95"/>
        <n v="363.97"/>
        <n v="496.95"/>
        <n v="485.24"/>
        <n v="202.04"/>
        <n v="1034.98"/>
        <n v="701.97"/>
        <n v="1154.8499999999999"/>
        <n v="656.25"/>
        <n v="1153.49"/>
        <n v="1188.6300000000001"/>
        <n v="894.89"/>
        <n v="963.26"/>
        <n v="217.39"/>
        <n v="826.54"/>
        <n v="772.16"/>
        <n v="714.69"/>
        <n v="142.61000000000001"/>
        <n v="163.71"/>
        <n v="773.76"/>
        <n v="1147.6099999999999"/>
        <n v="744.48"/>
        <n v="21.02"/>
        <n v="657.35"/>
        <n v="1026.94"/>
        <n v="832.83"/>
        <n v="383.12"/>
        <n v="637.28"/>
        <n v="785.57"/>
        <n v="280.27999999999997"/>
        <n v="94.6"/>
        <n v="38.44"/>
        <n v="339.72"/>
        <n v="25.39"/>
        <n v="828.59"/>
        <n v="71.11"/>
        <n v="901.56"/>
        <n v="591.6"/>
        <n v="416.35"/>
        <n v="1144.26"/>
        <n v="881.42"/>
        <n v="646.72"/>
        <n v="38.799999999999997"/>
        <n v="567.87"/>
        <n v="949.48"/>
        <n v="451.37"/>
        <n v="908.74"/>
        <n v="641.49"/>
        <n v="1079.58"/>
        <n v="1164.0999999999999"/>
        <n v="416.34"/>
        <n v="287.60000000000002"/>
        <n v="1010.41"/>
        <n v="805.35"/>
        <n v="204.14"/>
        <n v="1082.21"/>
        <n v="708.45"/>
        <n v="623.64"/>
        <n v="123.37"/>
        <n v="1184.23"/>
        <n v="239.49"/>
        <n v="374.2"/>
        <n v="899.77"/>
        <n v="397.22"/>
        <n v="924.4"/>
        <n v="35.22"/>
        <n v="833.79"/>
        <n v="447.83"/>
        <n v="382.77"/>
        <n v="625.91"/>
        <n v="238.04"/>
        <n v="920.63"/>
        <n v="814.76"/>
        <n v="633.28"/>
        <n v="830.71"/>
        <n v="487.72"/>
        <n v="722.05"/>
        <m/>
      </sharedItems>
    </cacheField>
    <cacheField name="Quantity" numFmtId="0">
      <sharedItems containsString="0" containsBlank="1" containsNumber="1" containsInteger="1" minValue="1" maxValue="10"/>
    </cacheField>
    <cacheField name="Discount" numFmtId="0">
      <sharedItems containsString="0" containsBlank="1" containsNumber="1" minValue="0" maxValue="0.2"/>
    </cacheField>
    <cacheField name="Profit" numFmtId="0">
      <sharedItems containsString="0" containsBlank="1" containsNumber="1" minValue="-227.17" maxValue="348.13"/>
    </cacheField>
    <cacheField name="price per quantity" numFmtId="0">
      <sharedItems containsString="0" containsBlank="1" containsNumber="1" minValue="3.8433000000000002" maxValue="1159.68"/>
    </cacheField>
    <cacheField name="delivery days" numFmtId="0">
      <sharedItems containsString="0" containsBlank="1" containsNumber="1" containsInteger="1" minValue="-287" maxValue="45463"/>
    </cacheField>
    <cacheField name="profit margin" numFmtId="0">
      <sharedItems containsString="0" containsBlank="1" containsNumber="1" minValue="-0.19995713017117309" maxValue="0.29862581315678044"/>
    </cacheField>
    <cacheField name="Months (order date)" numFmtId="0" databaseField="0">
      <fieldGroup base="1">
        <rangePr groupBy="months" startDate="2022-01-01T00:00:00" endDate="2024-12-03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12-2024"/>
        </groupItems>
      </fieldGroup>
    </cacheField>
    <cacheField name="Quarters (order date)" numFmtId="0" databaseField="0">
      <fieldGroup base="1">
        <rangePr groupBy="quarters" startDate="2022-01-01T00:00:00" endDate="2024-12-03T00:00:00"/>
        <groupItems count="6">
          <s v="&lt;01-01-2022"/>
          <s v="Qtr1"/>
          <s v="Qtr2"/>
          <s v="Qtr3"/>
          <s v="Qtr4"/>
          <s v="&gt;03-12-2024"/>
        </groupItems>
      </fieldGroup>
    </cacheField>
    <cacheField name="Years (order date)" numFmtId="0" databaseField="0">
      <fieldGroup base="1">
        <rangePr groupBy="years" startDate="2022-01-01T00:00:00" endDate="2024-12-03T00:00:00"/>
        <groupItems count="5">
          <s v="&lt;01-01-2022"/>
          <s v="2022"/>
          <s v="2023"/>
          <s v="2024"/>
          <s v="&gt;03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ORD-1000 "/>
    <x v="0"/>
    <d v="2023-10-19T00:00:00"/>
    <s v="Mohamed Ali"/>
    <x v="0"/>
    <s v="United States "/>
    <s v="New York"/>
    <x v="0"/>
    <x v="0"/>
    <s v="Bookcases"/>
    <x v="0"/>
    <x v="0"/>
    <n v="4"/>
    <n v="0.1"/>
    <n v="57.96"/>
    <n v="86.132499999999993"/>
    <n v="45218"/>
    <n v="0.16822918178387949"/>
  </r>
  <r>
    <s v="ORD-1001 "/>
    <x v="1"/>
    <d v="2022-08-16T00:00:00"/>
    <s v="Mohamed Ali "/>
    <x v="1"/>
    <s v="United States "/>
    <s v="Seattle"/>
    <x v="1"/>
    <x v="1"/>
    <s v="Storage"/>
    <x v="1"/>
    <x v="1"/>
    <n v="4"/>
    <n v="0"/>
    <n v="0.5"/>
    <n v="12.827500000000001"/>
    <n v="4"/>
    <n v="9.7446891444162922E-3"/>
  </r>
  <r>
    <s v="ORD-1002 "/>
    <x v="2"/>
    <d v="2022-10-15T00:00:00"/>
    <s v="Mohamed Ali "/>
    <x v="1"/>
    <s v="United States "/>
    <s v="Phoenix"/>
    <x v="0"/>
    <x v="0"/>
    <s v="Tables"/>
    <x v="2"/>
    <x v="2"/>
    <n v="7"/>
    <n v="0"/>
    <n v="-2.88"/>
    <n v="20.0871"/>
    <n v="3"/>
    <n v="-2.0482184766375078E-2"/>
  </r>
  <r>
    <s v="ORD-1003 "/>
    <x v="3"/>
    <d v="2022-03-31T00:00:00"/>
    <s v="John Smith  "/>
    <x v="1"/>
    <s v="United States"/>
    <s v="New York"/>
    <x v="2"/>
    <x v="2"/>
    <s v="Copiers"/>
    <x v="3"/>
    <x v="3"/>
    <n v="6"/>
    <n v="0"/>
    <n v="-77.88"/>
    <n v="124.97499999999999"/>
    <n v="9"/>
    <n v="-0.10386077215443087"/>
  </r>
  <r>
    <s v="ORD-1004 "/>
    <x v="0"/>
    <d v="2023-01-30T00:00:00"/>
    <s v="Rahul Kumar  "/>
    <x v="0"/>
    <s v="United States"/>
    <s v="Phoenix"/>
    <x v="2"/>
    <x v="2"/>
    <s v="Copiers"/>
    <x v="4"/>
    <x v="4"/>
    <n v="3"/>
    <n v="0.15"/>
    <n v="-22.46"/>
    <n v="334.75"/>
    <n v="44956"/>
    <n v="-2.2364948966890716E-2"/>
  </r>
  <r>
    <s v="ORD-1005 "/>
    <x v="4"/>
    <d v="2024-01-21T00:00:00"/>
    <s v="Alice Brown"/>
    <x v="2"/>
    <s v="United States "/>
    <s v="Chicago"/>
    <x v="0"/>
    <x v="0"/>
    <s v="Tables"/>
    <x v="5"/>
    <x v="5"/>
    <n v="9"/>
    <n v="0.1"/>
    <n v="66.569999999999993"/>
    <n v="51.973300000000002"/>
    <n v="4"/>
    <n v="0.14231657260133401"/>
  </r>
  <r>
    <s v="ORD-1006 "/>
    <x v="5"/>
    <d v="2023-08-10T00:00:00"/>
    <s v="Mohamed Ali  "/>
    <x v="2"/>
    <s v="United States "/>
    <s v="Phoenix"/>
    <x v="1"/>
    <x v="0"/>
    <s v="Bookcases"/>
    <x v="6"/>
    <x v="6"/>
    <n v="8"/>
    <n v="0.1"/>
    <n v="-41.15"/>
    <n v="76.136300000000006"/>
    <n v="6"/>
    <n v="-6.7559802328063176E-2"/>
  </r>
  <r>
    <s v="ORD-1007 "/>
    <x v="6"/>
    <d v="2022-08-16T00:00:00"/>
    <s v="Sara Lee  "/>
    <x v="1"/>
    <s v="United States "/>
    <s v="Houston"/>
    <x v="1"/>
    <x v="1"/>
    <s v="Paper"/>
    <x v="7"/>
    <x v="7"/>
    <n v="1"/>
    <n v="0"/>
    <n v="-15.73"/>
    <n v="127.27"/>
    <n v="3"/>
    <n v="-0.12359550561797754"/>
  </r>
  <r>
    <s v="ORD-1008 "/>
    <x v="7"/>
    <d v="2022-09-24T00:00:00"/>
    <s v="John Smith "/>
    <x v="2"/>
    <s v="United States "/>
    <s v="Houston"/>
    <x v="0"/>
    <x v="0"/>
    <s v="Bookcases"/>
    <x v="8"/>
    <x v="8"/>
    <n v="9"/>
    <n v="0.15"/>
    <n v="160.41999999999999"/>
    <n v="96.716700000000003"/>
    <n v="9"/>
    <n v="0.18429547934976159"/>
  </r>
  <r>
    <s v="ORD-1009 "/>
    <x v="0"/>
    <d v="2024-06-20T00:00:00"/>
    <s v="Mohamed Ali"/>
    <x v="1"/>
    <s v="United States"/>
    <s v="Miami"/>
    <x v="2"/>
    <x v="1"/>
    <s v="Binders"/>
    <x v="9"/>
    <x v="9"/>
    <n v="2"/>
    <n v="0.15"/>
    <n v="136.71"/>
    <n v="309.52999999999997"/>
    <n v="45463"/>
    <n v="0.22083481407294933"/>
  </r>
  <r>
    <s v="ORD-1010 "/>
    <x v="8"/>
    <d v="2024-03-17T00:00:00"/>
    <s v="Alice Brown"/>
    <x v="1"/>
    <s v="United States"/>
    <s v="New York"/>
    <x v="1"/>
    <x v="0"/>
    <s v="Bookcases"/>
    <x v="10"/>
    <x v="10"/>
    <n v="1"/>
    <n v="0"/>
    <n v="106.48"/>
    <n v="402.5"/>
    <n v="9"/>
    <n v="0.26454658385093166"/>
  </r>
  <r>
    <s v="ORD-1011 "/>
    <x v="0"/>
    <d v="2024-02-27T00:00:00"/>
    <s v="Sara Lee"/>
    <x v="0"/>
    <s v="United States "/>
    <s v="Seattle"/>
    <x v="3"/>
    <x v="0"/>
    <s v="Chairs"/>
    <x v="11"/>
    <x v="11"/>
    <n v="9"/>
    <n v="0.1"/>
    <n v="-53.88"/>
    <n v="88.723299999999995"/>
    <n v="45349"/>
    <n v="-6.747567344178533E-2"/>
  </r>
  <r>
    <s v="ORD-1012 "/>
    <x v="9"/>
    <d v="2023-11-25T00:00:00"/>
    <s v="Mohamed Ali  "/>
    <x v="1"/>
    <s v="United States "/>
    <s v="New York"/>
    <x v="0"/>
    <x v="2"/>
    <s v="Copiers"/>
    <x v="12"/>
    <x v="12"/>
    <n v="4"/>
    <n v="0.1"/>
    <n v="-92.85"/>
    <n v="138.1875"/>
    <n v="6"/>
    <n v="-0.16797829036635006"/>
  </r>
  <r>
    <s v="ORD-1013 "/>
    <x v="10"/>
    <d v="2023-10-10T00:00:00"/>
    <s v="Sara Lee"/>
    <x v="0"/>
    <s v="United States "/>
    <s v="Seattle"/>
    <x v="1"/>
    <x v="0"/>
    <s v="Chairs"/>
    <x v="13"/>
    <x v="13"/>
    <n v="6"/>
    <n v="0"/>
    <n v="62.12"/>
    <n v="181.4"/>
    <n v="1"/>
    <n v="5.7074604924660044E-2"/>
  </r>
  <r>
    <s v="ORD-1014 "/>
    <x v="11"/>
    <d v="2024-03-22T00:00:00"/>
    <s v="John Smith  "/>
    <x v="0"/>
    <s v="United States"/>
    <s v="New York"/>
    <x v="1"/>
    <x v="2"/>
    <s v="Phones"/>
    <x v="14"/>
    <x v="14"/>
    <n v="7"/>
    <n v="0.15"/>
    <n v="1.55"/>
    <n v="18.757100000000001"/>
    <n v="8"/>
    <n v="1.1805026656511805E-2"/>
  </r>
  <r>
    <s v="ORD-1015 "/>
    <x v="12"/>
    <d v="2022-12-16T00:00:00"/>
    <s v="Sara Lee"/>
    <x v="1"/>
    <s v="United States "/>
    <s v="Miami"/>
    <x v="0"/>
    <x v="0"/>
    <s v="Chairs"/>
    <x v="15"/>
    <x v="15"/>
    <n v="8"/>
    <n v="0.1"/>
    <n v="2.67"/>
    <n v="30.5562"/>
    <n v="2"/>
    <n v="1.0922479034567396E-2"/>
  </r>
  <r>
    <s v="ORD-1016 "/>
    <x v="13"/>
    <d v="2023-11-08T00:00:00"/>
    <s v="Alice Brown "/>
    <x v="1"/>
    <s v="United States "/>
    <s v="Houston"/>
    <x v="0"/>
    <x v="0"/>
    <s v="Chairs"/>
    <x v="16"/>
    <x v="16"/>
    <n v="4"/>
    <n v="0.1"/>
    <n v="3.57"/>
    <n v="278.27749999999997"/>
    <n v="9"/>
    <n v="3.2072301928830036E-3"/>
  </r>
  <r>
    <s v="ORD-1017 "/>
    <x v="14"/>
    <d v="2022-10-07T00:00:00"/>
    <s v="Alice Brown"/>
    <x v="0"/>
    <s v="United States"/>
    <s v="Seattle"/>
    <x v="3"/>
    <x v="2"/>
    <s v="Accessories"/>
    <x v="17"/>
    <x v="17"/>
    <n v="9"/>
    <n v="0.2"/>
    <n v="-103.23"/>
    <n v="93.553299999999993"/>
    <n v="8"/>
    <n v="-0.12260386232452078"/>
  </r>
  <r>
    <s v="ORD-1018 "/>
    <x v="0"/>
    <d v="2022-03-03T00:00:00"/>
    <s v="John Smith"/>
    <x v="1"/>
    <s v="United States"/>
    <s v="Seattle"/>
    <x v="2"/>
    <x v="2"/>
    <s v="Copiers"/>
    <x v="18"/>
    <x v="18"/>
    <n v="9"/>
    <n v="0.1"/>
    <n v="-189.55"/>
    <n v="122.76439999999999"/>
    <n v="44623"/>
    <n v="-0.17155709217290566"/>
  </r>
  <r>
    <s v="ORD-1019 "/>
    <x v="15"/>
    <d v="2022-05-13T00:00:00"/>
    <s v="Mohamed Ali  "/>
    <x v="2"/>
    <s v="United States"/>
    <s v="Los Angeles"/>
    <x v="3"/>
    <x v="0"/>
    <s v="Bookcases"/>
    <x v="19"/>
    <x v="19"/>
    <n v="10"/>
    <n v="0"/>
    <n v="6.94"/>
    <n v="72.153000000000006"/>
    <n v="69"/>
    <n v="9.6184496833118527E-3"/>
  </r>
  <r>
    <s v="ORD-1020 "/>
    <x v="14"/>
    <d v="2022-10-06T00:00:00"/>
    <s v="John Smith "/>
    <x v="0"/>
    <s v="United States"/>
    <s v="New York"/>
    <x v="2"/>
    <x v="0"/>
    <s v="Bookcases"/>
    <x v="20"/>
    <x v="20"/>
    <n v="8"/>
    <n v="0.15"/>
    <n v="206.76"/>
    <n v="97.711299999999994"/>
    <n v="7"/>
    <n v="0.26450383144213174"/>
  </r>
  <r>
    <s v="ORD-1021 "/>
    <x v="0"/>
    <d v="2022-10-02T00:00:00"/>
    <s v="Rahul Kumar  "/>
    <x v="0"/>
    <s v="United States"/>
    <s v="Seattle"/>
    <x v="3"/>
    <x v="2"/>
    <s v="Phones"/>
    <x v="21"/>
    <x v="21"/>
    <n v="6"/>
    <n v="0.15"/>
    <n v="-128.1"/>
    <n v="176.2567"/>
    <n v="44836"/>
    <n v="-0.12113017001720974"/>
  </r>
  <r>
    <s v="ORD-1022 "/>
    <x v="0"/>
    <d v="2022-04-20T00:00:00"/>
    <s v="Alice Brown  "/>
    <x v="2"/>
    <s v="United States "/>
    <s v="Seattle"/>
    <x v="3"/>
    <x v="2"/>
    <s v="Phones"/>
    <x v="22"/>
    <x v="22"/>
    <n v="9"/>
    <n v="0.1"/>
    <n v="-68.28"/>
    <n v="118.8733"/>
    <n v="44671"/>
    <n v="-6.3821434580225461E-2"/>
  </r>
  <r>
    <s v="ORD-1023 "/>
    <x v="16"/>
    <d v="2023-05-21T00:00:00"/>
    <s v="Rahul Kumar"/>
    <x v="0"/>
    <s v="United States "/>
    <s v="Phoenix"/>
    <x v="1"/>
    <x v="0"/>
    <s v="Chairs"/>
    <x v="23"/>
    <x v="23"/>
    <n v="5"/>
    <n v="0"/>
    <n v="-152.33000000000001"/>
    <n v="153.69200000000001"/>
    <n v="5"/>
    <n v="-0.19822762407932748"/>
  </r>
  <r>
    <s v="ORD-1024 "/>
    <x v="17"/>
    <d v="2022-01-12T00:00:00"/>
    <s v="Mohamed Ali"/>
    <x v="2"/>
    <s v="United States "/>
    <s v="New York"/>
    <x v="3"/>
    <x v="0"/>
    <s v="Bookcases"/>
    <x v="6"/>
    <x v="24"/>
    <n v="9"/>
    <n v="0"/>
    <n v="236.12"/>
    <n v="120.73779999999999"/>
    <n v="-262"/>
    <n v="0.21729367591842744"/>
  </r>
  <r>
    <s v="ORD-1025 "/>
    <x v="18"/>
    <d v="2024-03-27T00:00:00"/>
    <s v="Mohamed Ali  "/>
    <x v="1"/>
    <s v="United States "/>
    <s v="Miami"/>
    <x v="2"/>
    <x v="2"/>
    <s v="Phones"/>
    <x v="24"/>
    <x v="25"/>
    <n v="2"/>
    <n v="0.15"/>
    <n v="156.77000000000001"/>
    <n v="412.42"/>
    <n v="1"/>
    <n v="0.19006110275932303"/>
  </r>
  <r>
    <s v="ORD-1026 "/>
    <x v="0"/>
    <d v="2023-02-28T00:00:00"/>
    <s v="John Smith "/>
    <x v="1"/>
    <s v="United States "/>
    <s v="Los Angeles"/>
    <x v="2"/>
    <x v="0"/>
    <s v="Bookcases"/>
    <x v="25"/>
    <x v="26"/>
    <n v="7"/>
    <n v="0.1"/>
    <n v="-73.98"/>
    <n v="158.69999999999999"/>
    <n v="44985"/>
    <n v="-6.6594652984066971E-2"/>
  </r>
  <r>
    <s v="ORD-1027 "/>
    <x v="19"/>
    <d v="2022-12-30T00:00:00"/>
    <s v="Rahul Kumar "/>
    <x v="0"/>
    <s v="United States "/>
    <s v="Seattle"/>
    <x v="3"/>
    <x v="0"/>
    <s v="Chairs"/>
    <x v="26"/>
    <x v="27"/>
    <n v="4"/>
    <n v="0.2"/>
    <n v="-1.72"/>
    <n v="11.98"/>
    <n v="5"/>
    <n v="-3.5893155258764603E-2"/>
  </r>
  <r>
    <s v="ORD-1028 "/>
    <x v="20"/>
    <d v="2022-05-04T00:00:00"/>
    <s v="Rahul Kumar  "/>
    <x v="2"/>
    <s v="United States "/>
    <s v="Phoenix"/>
    <x v="0"/>
    <x v="0"/>
    <s v="Bookcases"/>
    <x v="27"/>
    <x v="28"/>
    <n v="5"/>
    <n v="0"/>
    <n v="-168.51"/>
    <n v="231.15799999999999"/>
    <n v="5"/>
    <n v="-0.14579638169563675"/>
  </r>
  <r>
    <s v="ORD-1029 "/>
    <x v="0"/>
    <d v="2023-08-18T00:00:00"/>
    <s v="Alice Brown "/>
    <x v="2"/>
    <s v="United States"/>
    <s v="Seattle"/>
    <x v="3"/>
    <x v="2"/>
    <s v="Phones"/>
    <x v="28"/>
    <x v="29"/>
    <n v="1"/>
    <n v="0"/>
    <n v="225.04"/>
    <n v="856.37"/>
    <n v="45156"/>
    <n v="0.26278360988824923"/>
  </r>
  <r>
    <s v="ORD-1030 "/>
    <x v="21"/>
    <d v="2022-11-20T00:00:00"/>
    <s v="Mohamed Ali"/>
    <x v="1"/>
    <s v="United States "/>
    <s v="Seattle"/>
    <x v="1"/>
    <x v="1"/>
    <s v="Paper"/>
    <x v="29"/>
    <x v="30"/>
    <n v="7"/>
    <n v="0.15"/>
    <n v="0.74"/>
    <n v="88.3429"/>
    <n v="2"/>
    <n v="1.1966364812419146E-3"/>
  </r>
  <r>
    <s v="ORD-1031 "/>
    <x v="22"/>
    <d v="2024-02-09T00:00:00"/>
    <s v="Sara Lee  "/>
    <x v="0"/>
    <s v="United States"/>
    <s v="Houston"/>
    <x v="1"/>
    <x v="1"/>
    <s v="Storage"/>
    <x v="30"/>
    <x v="31"/>
    <n v="9"/>
    <n v="0"/>
    <n v="-18.03"/>
    <n v="41.68"/>
    <n v="3"/>
    <n v="-4.806461932181702E-2"/>
  </r>
  <r>
    <s v="ORD-1032 "/>
    <x v="0"/>
    <d v="2023-11-27T00:00:00"/>
    <s v="Mohamed Ali "/>
    <x v="1"/>
    <s v="United States "/>
    <s v="Seattle"/>
    <x v="3"/>
    <x v="1"/>
    <s v="Paper"/>
    <x v="31"/>
    <x v="32"/>
    <n v="3"/>
    <n v="0"/>
    <n v="-55.59"/>
    <n v="318.87"/>
    <n v="45257"/>
    <n v="-5.8111456079279963E-2"/>
  </r>
  <r>
    <s v="ORD-1033 "/>
    <x v="23"/>
    <d v="2024-04-09T00:00:00"/>
    <s v="Sara Lee "/>
    <x v="0"/>
    <s v="United States "/>
    <s v="Seattle"/>
    <x v="1"/>
    <x v="0"/>
    <s v="Chairs"/>
    <x v="32"/>
    <x v="33"/>
    <n v="8"/>
    <n v="0"/>
    <n v="16.760000000000002"/>
    <n v="9.3163"/>
    <n v="4"/>
    <n v="0.22487588890379714"/>
  </r>
  <r>
    <s v="ORD-1034 "/>
    <x v="0"/>
    <d v="2023-02-18T00:00:00"/>
    <s v="Mohamed Ali "/>
    <x v="1"/>
    <s v="United States "/>
    <s v="Miami"/>
    <x v="0"/>
    <x v="0"/>
    <s v="Bookcases"/>
    <x v="25"/>
    <x v="34"/>
    <n v="2"/>
    <n v="0.2"/>
    <n v="-75.31"/>
    <n v="415.69499999999999"/>
    <n v="44975"/>
    <n v="-9.0583240115950397E-2"/>
  </r>
  <r>
    <s v="ORD-1035 "/>
    <x v="24"/>
    <d v="2022-05-25T00:00:00"/>
    <s v="Mohamed Ali  "/>
    <x v="0"/>
    <s v="United States "/>
    <s v="Miami"/>
    <x v="1"/>
    <x v="1"/>
    <s v="Storage"/>
    <x v="33"/>
    <x v="35"/>
    <n v="10"/>
    <n v="0.15"/>
    <n v="326.08999999999997"/>
    <n v="118.571"/>
    <n v="8"/>
    <n v="0.27501665668671088"/>
  </r>
  <r>
    <s v="ORD-1036 "/>
    <x v="25"/>
    <d v="2024-02-09T00:00:00"/>
    <s v="Rahul Kumar "/>
    <x v="1"/>
    <s v="United States"/>
    <s v="Los Angeles"/>
    <x v="3"/>
    <x v="2"/>
    <s v="Accessories"/>
    <x v="34"/>
    <x v="36"/>
    <n v="5"/>
    <n v="0"/>
    <n v="38.369999999999997"/>
    <n v="181.42"/>
    <n v="8"/>
    <n v="4.2299636203285189E-2"/>
  </r>
  <r>
    <s v="ORD-1037 "/>
    <x v="26"/>
    <d v="2022-12-03T00:00:00"/>
    <s v="Sara Lee "/>
    <x v="2"/>
    <s v="United States "/>
    <s v="Houston"/>
    <x v="0"/>
    <x v="0"/>
    <s v="Chairs"/>
    <x v="35"/>
    <x v="37"/>
    <n v="7"/>
    <n v="0.1"/>
    <n v="30.33"/>
    <n v="28.282900000000001"/>
    <n v="9"/>
    <n v="0.15319729265582382"/>
  </r>
  <r>
    <s v="ORD-1038 "/>
    <x v="27"/>
    <d v="2024-05-09T00:00:00"/>
    <s v="Rahul Kumar "/>
    <x v="2"/>
    <s v="United States "/>
    <s v="Phoenix"/>
    <x v="2"/>
    <x v="2"/>
    <s v="Copiers"/>
    <x v="36"/>
    <x v="38"/>
    <n v="1"/>
    <n v="0"/>
    <n v="-11.15"/>
    <n v="1136.3499999999999"/>
    <n v="7"/>
    <n v="-9.8121177454129453E-3"/>
  </r>
  <r>
    <s v="ORD-1039 "/>
    <x v="6"/>
    <d v="2022-08-18T00:00:00"/>
    <s v="Alice Brown  "/>
    <x v="0"/>
    <s v="United States"/>
    <s v="Houston"/>
    <x v="0"/>
    <x v="2"/>
    <s v="Accessories"/>
    <x v="37"/>
    <x v="39"/>
    <n v="6"/>
    <n v="0.2"/>
    <n v="8.7899999999999991"/>
    <n v="9.0417000000000005"/>
    <n v="5"/>
    <n v="0.16202764976958522"/>
  </r>
  <r>
    <s v="ORD-1040 "/>
    <x v="28"/>
    <d v="2023-10-28T00:00:00"/>
    <s v="Rahul Kumar "/>
    <x v="2"/>
    <s v="United States"/>
    <s v="Miami"/>
    <x v="1"/>
    <x v="0"/>
    <s v="Tables"/>
    <x v="38"/>
    <x v="40"/>
    <n v="5"/>
    <n v="0.2"/>
    <n v="-8.52"/>
    <n v="46.887999999999998"/>
    <n v="7"/>
    <n v="-3.6341921173861112E-2"/>
  </r>
  <r>
    <s v="ORD-1041 "/>
    <x v="29"/>
    <d v="2024-05-06T00:00:00"/>
    <s v="John Smith"/>
    <x v="1"/>
    <s v="United States "/>
    <s v="Miami"/>
    <x v="0"/>
    <x v="2"/>
    <s v="Phones"/>
    <x v="28"/>
    <x v="41"/>
    <n v="1"/>
    <n v="0.15"/>
    <n v="-79.44"/>
    <n v="903.85"/>
    <n v="2"/>
    <n v="-8.7890689826851789E-2"/>
  </r>
  <r>
    <s v="ORD-1042 "/>
    <x v="30"/>
    <d v="2022-06-10T00:00:00"/>
    <s v="Rahul Kumar"/>
    <x v="0"/>
    <s v="United States"/>
    <s v="Miami"/>
    <x v="2"/>
    <x v="0"/>
    <s v="Tables"/>
    <x v="39"/>
    <x v="42"/>
    <n v="10"/>
    <n v="0.1"/>
    <n v="26.34"/>
    <n v="80.995999999999995"/>
    <n v="4"/>
    <n v="3.2520124450590153E-2"/>
  </r>
  <r>
    <s v="ORD-1043 "/>
    <x v="31"/>
    <d v="2022-05-01T00:00:00"/>
    <s v="John Smith  "/>
    <x v="0"/>
    <s v="United States "/>
    <s v="New York"/>
    <x v="3"/>
    <x v="0"/>
    <s v="Tables"/>
    <x v="40"/>
    <x v="43"/>
    <n v="7"/>
    <n v="0.2"/>
    <n v="189.36"/>
    <n v="99.92"/>
    <n v="10"/>
    <n v="0.27073087041061422"/>
  </r>
  <r>
    <s v="ORD-1044 "/>
    <x v="32"/>
    <d v="2023-09-09T00:00:00"/>
    <s v="Rahul Kumar"/>
    <x v="2"/>
    <s v="United States "/>
    <s v="New York"/>
    <x v="1"/>
    <x v="1"/>
    <s v="Binders"/>
    <x v="41"/>
    <x v="44"/>
    <n v="7"/>
    <n v="0.15"/>
    <n v="-71.12"/>
    <n v="61.3857"/>
    <n v="62"/>
    <n v="-0.16551082150337446"/>
  </r>
  <r>
    <s v="ORD-1045 "/>
    <x v="0"/>
    <d v="2023-10-21T00:00:00"/>
    <s v="Sara Lee "/>
    <x v="2"/>
    <s v="United States"/>
    <s v="Chicago"/>
    <x v="2"/>
    <x v="1"/>
    <s v="Binders"/>
    <x v="42"/>
    <x v="45"/>
    <n v="9"/>
    <n v="0.15"/>
    <n v="57.63"/>
    <n v="59.318899999999999"/>
    <n v="45220"/>
    <n v="0.10794762769962725"/>
  </r>
  <r>
    <s v="ORD-1046 "/>
    <x v="33"/>
    <d v="2022-10-21T00:00:00"/>
    <s v="Alice Brown "/>
    <x v="1"/>
    <s v="United States"/>
    <s v="Miami"/>
    <x v="3"/>
    <x v="0"/>
    <s v="Tables"/>
    <x v="43"/>
    <x v="46"/>
    <n v="7"/>
    <n v="0.15"/>
    <n v="-128.55000000000001"/>
    <n v="98.917100000000005"/>
    <n v="8"/>
    <n v="-0.1856532162560296"/>
  </r>
  <r>
    <s v="ORD-1047 "/>
    <x v="0"/>
    <d v="2022-10-24T00:00:00"/>
    <s v="Sara Lee "/>
    <x v="0"/>
    <s v="United States "/>
    <s v="Seattle"/>
    <x v="1"/>
    <x v="1"/>
    <s v="Paper"/>
    <x v="44"/>
    <x v="47"/>
    <n v="9"/>
    <n v="0.1"/>
    <n v="-106.24"/>
    <n v="75.092200000000005"/>
    <n v="44858"/>
    <n v="-0.15719929568086646"/>
  </r>
  <r>
    <s v="ORD-1048 "/>
    <x v="34"/>
    <d v="2024-01-07T00:00:00"/>
    <s v="Mohamed Ali "/>
    <x v="2"/>
    <s v="United States"/>
    <s v="Houston"/>
    <x v="3"/>
    <x v="2"/>
    <s v="Phones"/>
    <x v="45"/>
    <x v="48"/>
    <n v="4"/>
    <n v="0.2"/>
    <n v="18.940000000000001"/>
    <n v="32.450000000000003"/>
    <n v="8"/>
    <n v="0.14591679506933744"/>
  </r>
  <r>
    <s v="ORD-1049 "/>
    <x v="0"/>
    <d v="2023-12-29T00:00:00"/>
    <s v="Mohamed Ali  "/>
    <x v="1"/>
    <s v="United States "/>
    <s v="Los Angeles"/>
    <x v="1"/>
    <x v="2"/>
    <s v="Accessories"/>
    <x v="46"/>
    <x v="49"/>
    <n v="2"/>
    <n v="0.1"/>
    <n v="-13.37"/>
    <n v="158.33000000000001"/>
    <n v="45289"/>
    <n v="-4.2221941514558194E-2"/>
  </r>
  <r>
    <s v="ORD-1050 "/>
    <x v="35"/>
    <d v="2024-01-22T00:00:00"/>
    <s v="Alice Brown "/>
    <x v="1"/>
    <s v="United States "/>
    <s v="Chicago"/>
    <x v="0"/>
    <x v="1"/>
    <s v="Storage"/>
    <x v="47"/>
    <x v="50"/>
    <n v="2"/>
    <n v="0.1"/>
    <n v="-18.36"/>
    <n v="176.97"/>
    <n v="10"/>
    <n v="-5.1873198847262249E-2"/>
  </r>
  <r>
    <s v="ORD-1051 "/>
    <x v="0"/>
    <d v="2023-07-26T00:00:00"/>
    <s v="Rahul Kumar "/>
    <x v="2"/>
    <s v="United States "/>
    <s v="Chicago"/>
    <x v="2"/>
    <x v="1"/>
    <s v="Binders"/>
    <x v="48"/>
    <x v="51"/>
    <n v="8"/>
    <n v="0"/>
    <n v="182.63"/>
    <n v="96.586299999999994"/>
    <n v="45133"/>
    <n v="0.23635610658867073"/>
  </r>
  <r>
    <s v="ORD-1052 "/>
    <x v="36"/>
    <d v="2022-09-24T00:00:00"/>
    <s v="Alice Brown"/>
    <x v="0"/>
    <s v="United States"/>
    <s v="New York"/>
    <x v="2"/>
    <x v="0"/>
    <s v="Chairs"/>
    <x v="49"/>
    <x v="52"/>
    <n v="2"/>
    <n v="0"/>
    <n v="56.54"/>
    <n v="246.41499999999999"/>
    <n v="8"/>
    <n v="0.11472515877686018"/>
  </r>
  <r>
    <s v="ORD-1053 "/>
    <x v="37"/>
    <d v="2023-08-02T00:00:00"/>
    <s v="Rahul Kumar  "/>
    <x v="2"/>
    <s v="United States"/>
    <s v="Phoenix"/>
    <x v="0"/>
    <x v="1"/>
    <s v="Storage"/>
    <x v="50"/>
    <x v="53"/>
    <n v="4"/>
    <n v="0"/>
    <n v="-9.35"/>
    <n v="238.26750000000001"/>
    <n v="7"/>
    <n v="-9.8104021740270907E-3"/>
  </r>
  <r>
    <s v="ORD-1054 "/>
    <x v="0"/>
    <d v="2024-01-30T00:00:00"/>
    <s v="John Smith"/>
    <x v="1"/>
    <s v="United States "/>
    <s v="Houston"/>
    <x v="1"/>
    <x v="0"/>
    <s v="Bookcases"/>
    <x v="51"/>
    <x v="54"/>
    <n v="2"/>
    <n v="0.1"/>
    <n v="-21.54"/>
    <n v="134.505"/>
    <n v="45321"/>
    <n v="-8.0071372811419655E-2"/>
  </r>
  <r>
    <s v="ORD-1055 "/>
    <x v="38"/>
    <d v="2022-02-07T00:00:00"/>
    <s v="Mohamed Ali  "/>
    <x v="1"/>
    <s v="United States "/>
    <s v="New York"/>
    <x v="2"/>
    <x v="2"/>
    <s v="Copiers"/>
    <x v="52"/>
    <x v="55"/>
    <n v="8"/>
    <n v="0"/>
    <n v="50.81"/>
    <n v="44.201300000000003"/>
    <n v="4"/>
    <n v="0.14368937530047227"/>
  </r>
  <r>
    <s v="ORD-1056 "/>
    <x v="39"/>
    <d v="2022-06-07T00:00:00"/>
    <s v="Rahul Kumar "/>
    <x v="1"/>
    <s v="United States "/>
    <s v="Seattle"/>
    <x v="3"/>
    <x v="0"/>
    <s v="Chairs"/>
    <x v="53"/>
    <x v="56"/>
    <n v="5"/>
    <n v="0"/>
    <n v="15.77"/>
    <n v="18.074000000000002"/>
    <n v="121"/>
    <n v="0.17450481354431779"/>
  </r>
  <r>
    <s v="ORD-1057 "/>
    <x v="40"/>
    <d v="2023-02-22T00:00:00"/>
    <s v="Rahul Kumar  "/>
    <x v="2"/>
    <s v="United States"/>
    <s v="New York"/>
    <x v="2"/>
    <x v="1"/>
    <s v="Storage"/>
    <x v="54"/>
    <x v="57"/>
    <n v="2"/>
    <n v="0"/>
    <n v="-108.52"/>
    <n v="301.33999999999997"/>
    <n v="5"/>
    <n v="-0.1800623880002655"/>
  </r>
  <r>
    <s v="ORD-1058 "/>
    <x v="41"/>
    <d v="2024-05-16T00:00:00"/>
    <s v="Sara Lee  "/>
    <x v="0"/>
    <s v="United States "/>
    <s v="Chicago"/>
    <x v="2"/>
    <x v="1"/>
    <s v="Binders"/>
    <x v="55"/>
    <x v="58"/>
    <n v="5"/>
    <n v="0"/>
    <n v="-215.77"/>
    <n v="239.9"/>
    <n v="10"/>
    <n v="-0.17988328470195916"/>
  </r>
  <r>
    <s v="ORD-1059 "/>
    <x v="42"/>
    <d v="2023-03-31T00:00:00"/>
    <s v="Rahul Kumar "/>
    <x v="0"/>
    <s v="United States "/>
    <s v="Chicago"/>
    <x v="1"/>
    <x v="0"/>
    <s v="Tables"/>
    <x v="56"/>
    <x v="59"/>
    <n v="6"/>
    <n v="0.15"/>
    <n v="58.16"/>
    <n v="71.765000000000001"/>
    <n v="8"/>
    <n v="0.13507048468380595"/>
  </r>
  <r>
    <s v="ORD-1060 "/>
    <x v="43"/>
    <d v="2023-07-19T00:00:00"/>
    <s v="Mohamed Ali"/>
    <x v="0"/>
    <s v="United States "/>
    <s v="Houston"/>
    <x v="0"/>
    <x v="2"/>
    <s v="Phones"/>
    <x v="57"/>
    <x v="60"/>
    <n v="6"/>
    <n v="0"/>
    <n v="111.51"/>
    <n v="65.188299999999998"/>
    <n v="1"/>
    <n v="0.285097026564058"/>
  </r>
  <r>
    <s v="ORD-1061 "/>
    <x v="44"/>
    <d v="2023-06-21T00:00:00"/>
    <s v="Rahul Kumar "/>
    <x v="0"/>
    <s v="United States "/>
    <s v="New York"/>
    <x v="0"/>
    <x v="1"/>
    <s v="Paper"/>
    <x v="58"/>
    <x v="61"/>
    <n v="1"/>
    <n v="0.1"/>
    <n v="-50.38"/>
    <n v="757.98"/>
    <n v="6"/>
    <n v="-6.646613367107311E-2"/>
  </r>
  <r>
    <s v="ORD-1062 "/>
    <x v="45"/>
    <d v="2023-09-20T00:00:00"/>
    <s v="John Smith "/>
    <x v="1"/>
    <s v="United States "/>
    <s v="Houston"/>
    <x v="3"/>
    <x v="1"/>
    <s v="Binders"/>
    <x v="59"/>
    <x v="62"/>
    <n v="1"/>
    <n v="0"/>
    <n v="1.54"/>
    <n v="386.69"/>
    <n v="4"/>
    <n v="3.9825182963097059E-3"/>
  </r>
  <r>
    <s v="ORD-1063 "/>
    <x v="46"/>
    <d v="2023-12-29T00:00:00"/>
    <s v="Alice Brown  "/>
    <x v="0"/>
    <s v="United States "/>
    <s v="Miami"/>
    <x v="0"/>
    <x v="2"/>
    <s v="Accessories"/>
    <x v="46"/>
    <x v="63"/>
    <n v="4"/>
    <n v="0.2"/>
    <n v="89"/>
    <n v="294.17250000000001"/>
    <n v="5"/>
    <n v="7.5635893905786566E-2"/>
  </r>
  <r>
    <s v="ORD-1064 "/>
    <x v="47"/>
    <d v="2024-03-09T00:00:00"/>
    <s v="Mohamed Ali  "/>
    <x v="2"/>
    <s v="United States "/>
    <s v="Houston"/>
    <x v="1"/>
    <x v="2"/>
    <s v="Copiers"/>
    <x v="60"/>
    <x v="64"/>
    <n v="1"/>
    <n v="0.15"/>
    <n v="54.66"/>
    <n v="335.26"/>
    <n v="35"/>
    <n v="0.16303764242677324"/>
  </r>
  <r>
    <s v="ORD-1065 "/>
    <x v="48"/>
    <d v="2022-12-16T00:00:00"/>
    <s v="Mohamed Ali "/>
    <x v="1"/>
    <s v="United States "/>
    <s v="New York"/>
    <x v="3"/>
    <x v="1"/>
    <s v="Paper"/>
    <x v="61"/>
    <x v="65"/>
    <n v="6"/>
    <n v="0.1"/>
    <n v="161.84"/>
    <n v="92.885000000000005"/>
    <n v="9"/>
    <n v="0.29039493280221063"/>
  </r>
  <r>
    <s v="ORD-1066 "/>
    <x v="49"/>
    <d v="2023-05-07T00:00:00"/>
    <s v="Mohamed Ali  "/>
    <x v="2"/>
    <s v="United States"/>
    <s v="Miami"/>
    <x v="1"/>
    <x v="2"/>
    <s v="Copiers"/>
    <x v="3"/>
    <x v="66"/>
    <n v="3"/>
    <n v="0.2"/>
    <n v="269.70999999999998"/>
    <n v="318.33999999999997"/>
    <n v="7"/>
    <n v="0.28241293376054949"/>
  </r>
  <r>
    <s v="ORD-1067 "/>
    <x v="50"/>
    <d v="2023-07-01T00:00:00"/>
    <s v="Rahul Kumar  "/>
    <x v="0"/>
    <s v="United States "/>
    <s v="Seattle"/>
    <x v="0"/>
    <x v="0"/>
    <s v="Bookcases"/>
    <x v="62"/>
    <x v="67"/>
    <n v="3"/>
    <n v="0"/>
    <n v="6.61"/>
    <n v="63.366700000000002"/>
    <n v="8"/>
    <n v="3.4771173066806944E-2"/>
  </r>
  <r>
    <s v="ORD-1068 "/>
    <x v="51"/>
    <d v="2024-05-31T00:00:00"/>
    <s v="Alice Brown  "/>
    <x v="0"/>
    <s v="United States"/>
    <s v="Los Angeles"/>
    <x v="0"/>
    <x v="2"/>
    <s v="Accessories"/>
    <x v="63"/>
    <x v="68"/>
    <n v="8"/>
    <n v="0"/>
    <n v="-138.29"/>
    <n v="94.952500000000001"/>
    <n v="9"/>
    <n v="-0.18205155209183538"/>
  </r>
  <r>
    <s v="ORD-1069 "/>
    <x v="52"/>
    <d v="2022-04-13T00:00:00"/>
    <s v="Rahul Kumar "/>
    <x v="2"/>
    <s v="United States "/>
    <s v="Los Angeles"/>
    <x v="2"/>
    <x v="2"/>
    <s v="Phones"/>
    <x v="64"/>
    <x v="69"/>
    <n v="1"/>
    <n v="0"/>
    <n v="-31.72"/>
    <n v="838.92"/>
    <n v="2"/>
    <n v="-3.7810518285414582E-2"/>
  </r>
  <r>
    <s v="ORD-1070 "/>
    <x v="0"/>
    <d v="2023-03-08T00:00:00"/>
    <s v="Alice Brown "/>
    <x v="0"/>
    <s v="United States "/>
    <s v="Los Angeles"/>
    <x v="1"/>
    <x v="1"/>
    <s v="Binders"/>
    <x v="65"/>
    <x v="70"/>
    <n v="2"/>
    <n v="0"/>
    <n v="51.93"/>
    <n v="110.29"/>
    <n v="44993"/>
    <n v="0.23542478919212984"/>
  </r>
  <r>
    <s v="ORD-1071 "/>
    <x v="53"/>
    <d v="2022-09-26T00:00:00"/>
    <s v="John Smith "/>
    <x v="2"/>
    <s v="United States"/>
    <s v="Seattle"/>
    <x v="1"/>
    <x v="2"/>
    <s v="Copiers"/>
    <x v="66"/>
    <x v="71"/>
    <n v="8"/>
    <n v="0.15"/>
    <n v="4.32"/>
    <n v="3.8862000000000001"/>
    <n v="8"/>
    <n v="0.13895143132840143"/>
  </r>
  <r>
    <s v="ORD-1072 "/>
    <x v="0"/>
    <d v="2022-09-22T00:00:00"/>
    <s v="Rahul Kumar  "/>
    <x v="2"/>
    <s v="United States"/>
    <s v="New York"/>
    <x v="1"/>
    <x v="2"/>
    <s v="Phones"/>
    <x v="67"/>
    <x v="72"/>
    <n v="8"/>
    <n v="0"/>
    <n v="-97.62"/>
    <n v="149.9075"/>
    <n v="44826"/>
    <n v="-8.1400196788019283E-2"/>
  </r>
  <r>
    <s v="ORD-1073 "/>
    <x v="54"/>
    <d v="2022-01-19T00:00:00"/>
    <s v="Alice Brown  "/>
    <x v="2"/>
    <s v="United States "/>
    <s v="Seattle"/>
    <x v="2"/>
    <x v="1"/>
    <s v="Storage"/>
    <x v="50"/>
    <x v="73"/>
    <n v="10"/>
    <n v="0.2"/>
    <n v="252.96"/>
    <n v="116.88500000000001"/>
    <n v="10"/>
    <n v="0.21641784660136035"/>
  </r>
  <r>
    <s v="ORD-1074 "/>
    <x v="55"/>
    <d v="2022-09-17T00:00:00"/>
    <s v="Mohamed Ali "/>
    <x v="0"/>
    <s v="United States "/>
    <s v="New York"/>
    <x v="3"/>
    <x v="1"/>
    <s v="Binders"/>
    <x v="68"/>
    <x v="74"/>
    <n v="1"/>
    <n v="0.15"/>
    <n v="211.02"/>
    <n v="1086.02"/>
    <n v="3"/>
    <n v="0.19430581388924698"/>
  </r>
  <r>
    <s v="ORD-1075 "/>
    <x v="56"/>
    <d v="2024-02-12T00:00:00"/>
    <s v="Alice Brown "/>
    <x v="2"/>
    <s v="United States"/>
    <s v="Seattle"/>
    <x v="3"/>
    <x v="0"/>
    <s v="Chairs"/>
    <x v="49"/>
    <x v="75"/>
    <n v="9"/>
    <n v="0.15"/>
    <n v="11.51"/>
    <n v="19.55"/>
    <n v="7"/>
    <n v="6.5416311452117085E-2"/>
  </r>
  <r>
    <s v="ORD-1076 "/>
    <x v="57"/>
    <d v="2023-04-27T00:00:00"/>
    <s v="John Smith "/>
    <x v="0"/>
    <s v="United States"/>
    <s v="Houston"/>
    <x v="3"/>
    <x v="0"/>
    <s v="Chairs"/>
    <x v="69"/>
    <x v="76"/>
    <n v="7"/>
    <n v="0"/>
    <n v="-17.71"/>
    <n v="147.85290000000001"/>
    <n v="2"/>
    <n v="-1.7111607099722696E-2"/>
  </r>
  <r>
    <s v="ORD-1077 "/>
    <x v="22"/>
    <d v="2024-02-11T00:00:00"/>
    <s v="John Smith  "/>
    <x v="0"/>
    <s v="United States"/>
    <s v="Phoenix"/>
    <x v="2"/>
    <x v="1"/>
    <s v="Paper"/>
    <x v="44"/>
    <x v="77"/>
    <n v="6"/>
    <n v="0"/>
    <n v="136.11000000000001"/>
    <n v="165.07499999999999"/>
    <n v="5"/>
    <n v="0.13742238376495533"/>
  </r>
  <r>
    <s v="ORD-1078 "/>
    <x v="58"/>
    <d v="2022-03-14T00:00:00"/>
    <s v="Rahul Kumar "/>
    <x v="1"/>
    <s v="United States"/>
    <s v="Los Angeles"/>
    <x v="2"/>
    <x v="1"/>
    <s v="Paper"/>
    <x v="70"/>
    <x v="78"/>
    <n v="2"/>
    <n v="0.1"/>
    <n v="-139.4"/>
    <n v="393.05"/>
    <n v="8"/>
    <n v="-0.17733112835517109"/>
  </r>
  <r>
    <s v="ORD-1079 "/>
    <x v="59"/>
    <d v="2023-04-16T00:00:00"/>
    <s v="Alice Brown "/>
    <x v="0"/>
    <s v="United States"/>
    <s v="Miami"/>
    <x v="1"/>
    <x v="1"/>
    <s v="Storage"/>
    <x v="50"/>
    <x v="79"/>
    <n v="9"/>
    <n v="0.2"/>
    <n v="78.86"/>
    <n v="93.538899999999998"/>
    <n v="-171"/>
    <n v="9.3674645126804054E-2"/>
  </r>
  <r>
    <s v="ORD-1080 "/>
    <x v="60"/>
    <d v="2023-02-27T00:00:00"/>
    <s v="John Smith  "/>
    <x v="2"/>
    <s v="United States"/>
    <s v="New York"/>
    <x v="1"/>
    <x v="0"/>
    <s v="Bookcases"/>
    <x v="71"/>
    <x v="80"/>
    <n v="8"/>
    <n v="0.2"/>
    <n v="125.87"/>
    <n v="57.153799999999997"/>
    <n v="5"/>
    <n v="0.27528814819675002"/>
  </r>
  <r>
    <s v="ORD-1081 "/>
    <x v="61"/>
    <d v="2022-07-16T00:00:00"/>
    <s v="Alice Brown"/>
    <x v="0"/>
    <s v="United States "/>
    <s v="New York"/>
    <x v="2"/>
    <x v="2"/>
    <s v="Phones"/>
    <x v="72"/>
    <x v="81"/>
    <n v="10"/>
    <n v="0"/>
    <n v="-140.13"/>
    <n v="80.206999999999994"/>
    <n v="2"/>
    <n v="-0.17471043674492251"/>
  </r>
  <r>
    <s v="ORD-1082 "/>
    <x v="62"/>
    <d v="2022-08-14T00:00:00"/>
    <s v="Alice Brown  "/>
    <x v="2"/>
    <s v="United States "/>
    <s v="New York"/>
    <x v="0"/>
    <x v="2"/>
    <s v="Phones"/>
    <x v="73"/>
    <x v="82"/>
    <n v="10"/>
    <n v="0"/>
    <n v="-58.33"/>
    <n v="95.06"/>
    <n v="4"/>
    <n v="-6.1361245529139491E-2"/>
  </r>
  <r>
    <s v="ORD-1083 "/>
    <x v="0"/>
    <d v="2022-01-22T00:00:00"/>
    <s v="Sara Lee  "/>
    <x v="1"/>
    <s v="United States"/>
    <s v="Houston"/>
    <x v="1"/>
    <x v="0"/>
    <s v="Bookcases"/>
    <x v="74"/>
    <x v="83"/>
    <n v="3"/>
    <n v="0.15"/>
    <n v="-69.88"/>
    <n v="134.01669999999999"/>
    <n v="44583"/>
    <n v="-0.17380922770799651"/>
  </r>
  <r>
    <s v="ORD-1084 "/>
    <x v="63"/>
    <d v="2023-01-15T00:00:00"/>
    <s v="Mohamed Ali "/>
    <x v="2"/>
    <s v="United States"/>
    <s v="New York"/>
    <x v="1"/>
    <x v="1"/>
    <s v="Binders"/>
    <x v="75"/>
    <x v="84"/>
    <n v="4"/>
    <n v="0"/>
    <n v="-98.68"/>
    <n v="138.3425"/>
    <n v="-137"/>
    <n v="-0.17832553264542711"/>
  </r>
  <r>
    <s v="ORD-1085 "/>
    <x v="64"/>
    <d v="2023-03-15T00:00:00"/>
    <s v="John Smith"/>
    <x v="2"/>
    <s v="United States"/>
    <s v="Houston"/>
    <x v="3"/>
    <x v="2"/>
    <s v="Copiers"/>
    <x v="76"/>
    <x v="85"/>
    <n v="2"/>
    <n v="0"/>
    <n v="-42.58"/>
    <n v="546.72500000000002"/>
    <n v="2"/>
    <n v="-3.8940966665142435E-2"/>
  </r>
  <r>
    <s v="ORD-1086 "/>
    <x v="65"/>
    <d v="2023-06-12T00:00:00"/>
    <s v="Sara Lee "/>
    <x v="1"/>
    <s v="United States "/>
    <s v="Chicago"/>
    <x v="1"/>
    <x v="2"/>
    <s v="Phones"/>
    <x v="77"/>
    <x v="86"/>
    <n v="2"/>
    <n v="0"/>
    <n v="153.34"/>
    <n v="477.92500000000001"/>
    <n v="10"/>
    <n v="0.16042266045927708"/>
  </r>
  <r>
    <s v="ORD-1087 "/>
    <x v="66"/>
    <d v="2023-03-04T00:00:00"/>
    <s v="Sara Lee"/>
    <x v="1"/>
    <s v="United States"/>
    <s v="New York"/>
    <x v="1"/>
    <x v="2"/>
    <s v="Accessories"/>
    <x v="78"/>
    <x v="87"/>
    <n v="5"/>
    <n v="0.15"/>
    <n v="107.61"/>
    <n v="77.756"/>
    <n v="29"/>
    <n v="0.27678892947168066"/>
  </r>
  <r>
    <s v="ORD-1088 "/>
    <x v="67"/>
    <d v="2024-02-08T00:00:00"/>
    <s v="Sara Lee "/>
    <x v="0"/>
    <s v="United States "/>
    <s v="Miami"/>
    <x v="0"/>
    <x v="0"/>
    <s v="Bookcases"/>
    <x v="51"/>
    <x v="88"/>
    <n v="9"/>
    <n v="0"/>
    <n v="-3.19"/>
    <n v="10.0867"/>
    <n v="6"/>
    <n v="-3.5139898656091649E-2"/>
  </r>
  <r>
    <s v="ORD-1089 "/>
    <x v="68"/>
    <d v="2023-09-12T00:00:00"/>
    <s v="John Smith "/>
    <x v="0"/>
    <s v="United States"/>
    <s v="New York"/>
    <x v="3"/>
    <x v="2"/>
    <s v="Phones"/>
    <x v="79"/>
    <x v="89"/>
    <n v="4"/>
    <n v="0.1"/>
    <n v="90.11"/>
    <n v="175.48500000000001"/>
    <n v="5"/>
    <n v="0.12837279539561786"/>
  </r>
  <r>
    <s v="ORD-1090 "/>
    <x v="0"/>
    <d v="2022-08-27T00:00:00"/>
    <s v="Rahul Kumar"/>
    <x v="1"/>
    <s v="United States"/>
    <s v="Seattle"/>
    <x v="3"/>
    <x v="1"/>
    <s v="Storage"/>
    <x v="1"/>
    <x v="90"/>
    <n v="9"/>
    <n v="0"/>
    <n v="77.75"/>
    <n v="82.668899999999994"/>
    <n v="44800"/>
    <n v="0.10449987903550981"/>
  </r>
  <r>
    <s v="ORD-1091 "/>
    <x v="0"/>
    <d v="2022-12-27T00:00:00"/>
    <s v="John Smith"/>
    <x v="0"/>
    <s v="United States "/>
    <s v="Houston"/>
    <x v="1"/>
    <x v="0"/>
    <s v="Chairs"/>
    <x v="80"/>
    <x v="91"/>
    <n v="7"/>
    <n v="0"/>
    <n v="-88.83"/>
    <n v="98.322900000000004"/>
    <n v="44922"/>
    <n v="-0.12906459768110889"/>
  </r>
  <r>
    <s v="ORD-1092 "/>
    <x v="69"/>
    <d v="2022-12-19T00:00:00"/>
    <s v="Alice Brown"/>
    <x v="0"/>
    <s v="United States"/>
    <s v="Seattle"/>
    <x v="0"/>
    <x v="2"/>
    <s v="Accessories"/>
    <x v="46"/>
    <x v="92"/>
    <n v="10"/>
    <n v="0"/>
    <n v="-137.28"/>
    <n v="87.147999999999996"/>
    <n v="3"/>
    <n v="-0.15752512966447882"/>
  </r>
  <r>
    <s v="ORD-1093 "/>
    <x v="70"/>
    <d v="2023-04-06T00:00:00"/>
    <s v="Rahul Kumar "/>
    <x v="1"/>
    <s v="United States"/>
    <s v="Seattle"/>
    <x v="1"/>
    <x v="2"/>
    <s v="Copiers"/>
    <x v="81"/>
    <x v="93"/>
    <n v="5"/>
    <n v="0.1"/>
    <n v="96.12"/>
    <n v="108.322"/>
    <n v="7"/>
    <n v="0.17747087387603627"/>
  </r>
  <r>
    <s v="ORD-1094 "/>
    <x v="71"/>
    <d v="2023-11-20T00:00:00"/>
    <s v="Alice Brown"/>
    <x v="2"/>
    <s v="United States"/>
    <s v="Chicago"/>
    <x v="0"/>
    <x v="0"/>
    <s v="Chairs"/>
    <x v="82"/>
    <x v="94"/>
    <n v="10"/>
    <n v="0"/>
    <n v="-95.41"/>
    <n v="48.640999999999998"/>
    <n v="5"/>
    <n v="-0.19615139491375586"/>
  </r>
  <r>
    <s v="ORD-1095 "/>
    <x v="0"/>
    <d v="2023-06-01T00:00:00"/>
    <s v="Rahul Kumar"/>
    <x v="2"/>
    <s v="United States"/>
    <s v="Houston"/>
    <x v="0"/>
    <x v="0"/>
    <s v="Chairs"/>
    <x v="80"/>
    <x v="95"/>
    <n v="4"/>
    <n v="0"/>
    <n v="37.19"/>
    <n v="117.16"/>
    <n v="45078"/>
    <n v="7.9357289177193577E-2"/>
  </r>
  <r>
    <s v="ORD-1096 "/>
    <x v="72"/>
    <d v="2022-03-27T00:00:00"/>
    <s v="Rahul Kumar"/>
    <x v="0"/>
    <s v="United States "/>
    <s v="Miami"/>
    <x v="3"/>
    <x v="1"/>
    <s v="Paper"/>
    <x v="83"/>
    <x v="96"/>
    <n v="7"/>
    <n v="0.15"/>
    <n v="-99.21"/>
    <n v="99.515699999999995"/>
    <n v="6"/>
    <n v="-0.1424182828268328"/>
  </r>
  <r>
    <s v="ORD-1097 "/>
    <x v="73"/>
    <d v="2023-03-26T00:00:00"/>
    <s v="Rahul Kumar"/>
    <x v="2"/>
    <s v="United States "/>
    <s v="New York"/>
    <x v="0"/>
    <x v="0"/>
    <s v="Tables"/>
    <x v="84"/>
    <x v="97"/>
    <n v="9"/>
    <n v="0"/>
    <n v="-1.51"/>
    <n v="79.430000000000007"/>
    <n v="2"/>
    <n v="-2.1122721613719979E-3"/>
  </r>
  <r>
    <s v="ORD-1098 "/>
    <x v="74"/>
    <d v="2023-06-11T00:00:00"/>
    <s v="Alice Brown"/>
    <x v="0"/>
    <s v="United States "/>
    <s v="Miami"/>
    <x v="0"/>
    <x v="2"/>
    <s v="Accessories"/>
    <x v="85"/>
    <x v="98"/>
    <n v="3"/>
    <n v="0.1"/>
    <n v="-130.51"/>
    <n v="292.77"/>
    <n v="4"/>
    <n v="-0.14859218271453131"/>
  </r>
  <r>
    <s v="ORD-1099 "/>
    <x v="47"/>
    <d v="2024-03-10T00:00:00"/>
    <s v="Rahul Kumar  "/>
    <x v="2"/>
    <s v="United States "/>
    <s v="Houston"/>
    <x v="0"/>
    <x v="2"/>
    <s v="Copiers"/>
    <x v="86"/>
    <x v="99"/>
    <n v="8"/>
    <n v="0"/>
    <n v="111.37"/>
    <n v="114.5825"/>
    <n v="36"/>
    <n v="0.12149542905766589"/>
  </r>
  <r>
    <s v="ORD-1100 "/>
    <x v="75"/>
    <d v="2023-04-03T00:00:00"/>
    <s v="John Smith"/>
    <x v="2"/>
    <s v="United States"/>
    <s v="New York"/>
    <x v="0"/>
    <x v="2"/>
    <s v="Copiers"/>
    <x v="87"/>
    <x v="100"/>
    <n v="9"/>
    <n v="0"/>
    <n v="-3.87"/>
    <n v="9.5867000000000004"/>
    <n v="5"/>
    <n v="-4.4853963838664815E-2"/>
  </r>
  <r>
    <s v="ORD-1101 "/>
    <x v="76"/>
    <d v="2023-09-10T00:00:00"/>
    <s v="Alice Brown "/>
    <x v="0"/>
    <s v="United States "/>
    <s v="Phoenix"/>
    <x v="2"/>
    <x v="2"/>
    <s v="Accessories"/>
    <x v="17"/>
    <x v="101"/>
    <n v="1"/>
    <n v="0.2"/>
    <n v="179.39"/>
    <n v="704.79"/>
    <n v="244"/>
    <n v="0.25452971807204983"/>
  </r>
  <r>
    <s v="ORD-1102 "/>
    <x v="77"/>
    <d v="2023-04-09T00:00:00"/>
    <s v="Sara Lee  "/>
    <x v="0"/>
    <s v="United States "/>
    <s v="Chicago"/>
    <x v="3"/>
    <x v="2"/>
    <s v="Copiers"/>
    <x v="88"/>
    <x v="102"/>
    <n v="3"/>
    <n v="0"/>
    <n v="-9.1"/>
    <n v="39.8367"/>
    <n v="2"/>
    <n v="-7.6144255710819175E-2"/>
  </r>
  <r>
    <s v="ORD-1103 "/>
    <x v="78"/>
    <d v="2023-02-08T00:00:00"/>
    <s v="Sara Lee "/>
    <x v="2"/>
    <s v="United States "/>
    <s v="Chicago"/>
    <x v="0"/>
    <x v="2"/>
    <s v="Copiers"/>
    <x v="89"/>
    <x v="103"/>
    <n v="6"/>
    <n v="0"/>
    <n v="-25.51"/>
    <n v="120.9183"/>
    <n v="37"/>
    <n v="-3.5161472619260933E-2"/>
  </r>
  <r>
    <s v="ORD-1104 "/>
    <x v="79"/>
    <d v="2023-11-14T00:00:00"/>
    <s v="Rahul Kumar  "/>
    <x v="2"/>
    <s v="United States"/>
    <s v="Miami"/>
    <x v="2"/>
    <x v="2"/>
    <s v="Accessories"/>
    <x v="90"/>
    <x v="104"/>
    <n v="7"/>
    <n v="0.1"/>
    <n v="113.31"/>
    <n v="165.9829"/>
    <n v="3"/>
    <n v="9.752297999793437E-2"/>
  </r>
  <r>
    <s v="ORD-1105 "/>
    <x v="80"/>
    <d v="2023-12-30T00:00:00"/>
    <s v="Alice Brown"/>
    <x v="2"/>
    <s v="United States "/>
    <s v="Los Angeles"/>
    <x v="2"/>
    <x v="0"/>
    <s v="Bookcases"/>
    <x v="91"/>
    <x v="105"/>
    <n v="9"/>
    <n v="0.15"/>
    <n v="-154.83000000000001"/>
    <n v="90.1267"/>
    <n v="9"/>
    <n v="-0.19087950292181377"/>
  </r>
  <r>
    <s v="ORD-1106 "/>
    <x v="81"/>
    <d v="2022-06-10T00:00:00"/>
    <s v="Mohamed Ali"/>
    <x v="0"/>
    <s v="United States "/>
    <s v="Los Angeles"/>
    <x v="2"/>
    <x v="2"/>
    <s v="Phones"/>
    <x v="24"/>
    <x v="106"/>
    <n v="9"/>
    <n v="0"/>
    <n v="-112.13"/>
    <n v="68.785600000000002"/>
    <n v="2"/>
    <n v="-0.18112652850243105"/>
  </r>
  <r>
    <s v="ORD-1107 "/>
    <x v="82"/>
    <d v="2024-05-11T00:00:00"/>
    <s v="Sara Lee  "/>
    <x v="2"/>
    <s v="United States "/>
    <s v="Los Angeles"/>
    <x v="2"/>
    <x v="0"/>
    <s v="Bookcases"/>
    <x v="92"/>
    <x v="107"/>
    <n v="7"/>
    <n v="0.15"/>
    <n v="74.13"/>
    <n v="76.6357"/>
    <n v="10"/>
    <n v="0.1381862242520272"/>
  </r>
  <r>
    <s v="ORD-1108 "/>
    <x v="83"/>
    <d v="2024-04-16T00:00:00"/>
    <s v="Sara Lee  "/>
    <x v="0"/>
    <s v="United States "/>
    <s v="Los Angeles"/>
    <x v="2"/>
    <x v="0"/>
    <s v="Tables"/>
    <x v="93"/>
    <x v="108"/>
    <n v="10"/>
    <n v="0.2"/>
    <n v="25.3"/>
    <n v="82.04"/>
    <n v="8"/>
    <n v="3.0838615309605074E-2"/>
  </r>
  <r>
    <s v="ORD-1109 "/>
    <x v="0"/>
    <d v="2022-05-27T00:00:00"/>
    <s v="Mohamed Ali"/>
    <x v="2"/>
    <s v="United States"/>
    <s v="Miami"/>
    <x v="2"/>
    <x v="0"/>
    <s v="Bookcases"/>
    <x v="71"/>
    <x v="109"/>
    <n v="6"/>
    <n v="0"/>
    <n v="156.84"/>
    <n v="97.85"/>
    <n v="44708"/>
    <n v="0.26714358712314767"/>
  </r>
  <r>
    <s v="ORD-1110 "/>
    <x v="84"/>
    <d v="2023-04-15T00:00:00"/>
    <s v="Sara Lee"/>
    <x v="2"/>
    <s v="United States"/>
    <s v="Los Angeles"/>
    <x v="1"/>
    <x v="0"/>
    <s v="Tables"/>
    <x v="94"/>
    <x v="110"/>
    <n v="4"/>
    <n v="0.2"/>
    <n v="31.07"/>
    <n v="32.055"/>
    <n v="9"/>
    <n v="0.24231789112462954"/>
  </r>
  <r>
    <s v="ORD-1111 "/>
    <x v="85"/>
    <d v="2023-01-23T00:00:00"/>
    <s v="Sara Lee  "/>
    <x v="1"/>
    <s v="United States "/>
    <s v="Houston"/>
    <x v="0"/>
    <x v="0"/>
    <s v="Tables"/>
    <x v="94"/>
    <x v="111"/>
    <n v="6"/>
    <n v="0.1"/>
    <n v="-146.72999999999999"/>
    <n v="186.39500000000001"/>
    <n v="4"/>
    <n v="-0.13119987124118138"/>
  </r>
  <r>
    <s v="ORD-1112 "/>
    <x v="86"/>
    <d v="2022-01-25T00:00:00"/>
    <s v="Alice Brown "/>
    <x v="1"/>
    <s v="United States"/>
    <s v="Los Angeles"/>
    <x v="1"/>
    <x v="0"/>
    <s v="Chairs"/>
    <x v="95"/>
    <x v="112"/>
    <n v="10"/>
    <n v="0"/>
    <n v="7.76"/>
    <n v="66.759"/>
    <n v="5"/>
    <n v="1.1623900897257297E-2"/>
  </r>
  <r>
    <s v="ORD-1113 "/>
    <x v="0"/>
    <d v="2024-04-02T00:00:00"/>
    <s v="Mohamed Ali  "/>
    <x v="1"/>
    <s v="United States "/>
    <s v="Chicago"/>
    <x v="1"/>
    <x v="2"/>
    <s v="Phones"/>
    <x v="96"/>
    <x v="113"/>
    <n v="8"/>
    <n v="0"/>
    <n v="10.26"/>
    <n v="18.851299999999998"/>
    <n v="45384"/>
    <n v="6.8032623831310923E-2"/>
  </r>
  <r>
    <s v="ORD-1114 "/>
    <x v="87"/>
    <d v="2023-09-28T00:00:00"/>
    <s v="Mohamed Ali  "/>
    <x v="0"/>
    <s v="United States"/>
    <s v="Houston"/>
    <x v="1"/>
    <x v="0"/>
    <s v="Bookcases"/>
    <x v="97"/>
    <x v="114"/>
    <n v="2"/>
    <n v="0"/>
    <n v="146.97999999999999"/>
    <n v="255.77500000000001"/>
    <n v="6"/>
    <n v="0.28732284234190203"/>
  </r>
  <r>
    <s v="ORD-1115 "/>
    <x v="0"/>
    <d v="2023-10-20T00:00:00"/>
    <s v="John Smith  "/>
    <x v="0"/>
    <s v="United States"/>
    <s v="Los Angeles"/>
    <x v="0"/>
    <x v="2"/>
    <s v="Accessories"/>
    <x v="98"/>
    <x v="115"/>
    <n v="6"/>
    <n v="0"/>
    <n v="-24.89"/>
    <n v="150.30500000000001"/>
    <n v="45219"/>
    <n v="-2.7599436700930329E-2"/>
  </r>
  <r>
    <s v="ORD-1116 "/>
    <x v="88"/>
    <d v="2023-07-20T00:00:00"/>
    <s v="John Smith  "/>
    <x v="2"/>
    <s v="United States"/>
    <s v="Chicago"/>
    <x v="2"/>
    <x v="1"/>
    <s v="Binders"/>
    <x v="99"/>
    <x v="116"/>
    <n v="8"/>
    <n v="0.2"/>
    <n v="115.85"/>
    <n v="124.9813"/>
    <n v="6"/>
    <n v="0.11586738010701604"/>
  </r>
  <r>
    <s v="ORD-1117 "/>
    <x v="0"/>
    <d v="2024-03-25T00:00:00"/>
    <s v="Sara Lee "/>
    <x v="1"/>
    <s v="United States "/>
    <s v="Chicago"/>
    <x v="3"/>
    <x v="0"/>
    <s v="Tables"/>
    <x v="100"/>
    <x v="117"/>
    <n v="9"/>
    <n v="0.2"/>
    <n v="330.32"/>
    <n v="124.59780000000001"/>
    <n v="45376"/>
    <n v="0.29456562449838586"/>
  </r>
  <r>
    <s v="ORD-1118 "/>
    <x v="89"/>
    <d v="2022-02-24T00:00:00"/>
    <s v="Rahul Kumar"/>
    <x v="2"/>
    <s v="United States "/>
    <s v="Chicago"/>
    <x v="3"/>
    <x v="2"/>
    <s v="Phones"/>
    <x v="101"/>
    <x v="118"/>
    <n v="7"/>
    <n v="0.2"/>
    <n v="165.34"/>
    <n v="137.60290000000001"/>
    <n v="6"/>
    <n v="0.17165341251219868"/>
  </r>
  <r>
    <s v="ORD-1119 "/>
    <x v="90"/>
    <d v="2024-01-22T00:00:00"/>
    <s v="John Smith "/>
    <x v="0"/>
    <s v="United States"/>
    <s v="Chicago"/>
    <x v="1"/>
    <x v="0"/>
    <s v="Tables"/>
    <x v="93"/>
    <x v="119"/>
    <n v="3"/>
    <n v="0"/>
    <n v="-38.82"/>
    <n v="243.63"/>
    <n v="7"/>
    <n v="-5.3113327586914588E-2"/>
  </r>
  <r>
    <s v="ORD-1120 "/>
    <x v="91"/>
    <d v="2024-01-12T00:00:00"/>
    <s v="Mohamed Ali "/>
    <x v="2"/>
    <s v="United States"/>
    <s v="New York"/>
    <x v="1"/>
    <x v="0"/>
    <s v="Bookcases"/>
    <x v="6"/>
    <x v="120"/>
    <n v="8"/>
    <n v="0"/>
    <n v="88.86"/>
    <n v="67.976200000000006"/>
    <n v="7"/>
    <n v="0.16340265901693607"/>
  </r>
  <r>
    <s v="ORD-1121 "/>
    <x v="92"/>
    <d v="2023-06-13T00:00:00"/>
    <s v="Rahul Kumar "/>
    <x v="2"/>
    <s v="United States"/>
    <s v="Phoenix"/>
    <x v="2"/>
    <x v="0"/>
    <s v="Chairs"/>
    <x v="69"/>
    <x v="121"/>
    <n v="8"/>
    <n v="0"/>
    <n v="-139.82"/>
    <n v="127.67870000000001"/>
    <n v="3"/>
    <n v="-0.1368865218370324"/>
  </r>
  <r>
    <s v="ORD-1122 "/>
    <x v="84"/>
    <d v="2023-04-12T00:00:00"/>
    <s v="Rahul Kumar  "/>
    <x v="2"/>
    <s v="United States "/>
    <s v="New York"/>
    <x v="0"/>
    <x v="2"/>
    <s v="Accessories"/>
    <x v="102"/>
    <x v="122"/>
    <n v="10"/>
    <n v="0.1"/>
    <n v="59.58"/>
    <n v="92.043999999999997"/>
    <n v="6"/>
    <n v="6.4729911781321967E-2"/>
  </r>
  <r>
    <s v="ORD-1123 "/>
    <x v="93"/>
    <d v="2022-07-18T00:00:00"/>
    <s v="Sara Lee"/>
    <x v="0"/>
    <s v="United States"/>
    <s v="Seattle"/>
    <x v="1"/>
    <x v="1"/>
    <s v="Paper"/>
    <x v="103"/>
    <x v="123"/>
    <n v="2"/>
    <n v="0.15"/>
    <n v="205.85"/>
    <n v="548.99"/>
    <n v="-81"/>
    <n v="0.18748064627770997"/>
  </r>
  <r>
    <s v="ORD-1124 "/>
    <x v="94"/>
    <d v="2022-05-09T00:00:00"/>
    <s v="Rahul Kumar  "/>
    <x v="1"/>
    <s v="United States"/>
    <s v="Chicago"/>
    <x v="2"/>
    <x v="0"/>
    <s v="Tables"/>
    <x v="104"/>
    <x v="124"/>
    <n v="8"/>
    <n v="0"/>
    <n v="45.92"/>
    <n v="27.966200000000001"/>
    <n v="3"/>
    <n v="0.20524739641532205"/>
  </r>
  <r>
    <s v="ORD-1125 "/>
    <x v="95"/>
    <d v="2023-12-31T00:00:00"/>
    <s v="John Smith "/>
    <x v="0"/>
    <s v="United States"/>
    <s v="Houston"/>
    <x v="2"/>
    <x v="2"/>
    <s v="Copiers"/>
    <x v="87"/>
    <x v="125"/>
    <n v="4"/>
    <n v="0.1"/>
    <n v="-23.23"/>
    <n v="71.152500000000003"/>
    <n v="3"/>
    <n v="-8.1620463089842235E-2"/>
  </r>
  <r>
    <s v="ORD-1126 "/>
    <x v="96"/>
    <d v="2022-04-01T00:00:00"/>
    <s v="Mohamed Ali"/>
    <x v="1"/>
    <s v="United States"/>
    <s v="Seattle"/>
    <x v="0"/>
    <x v="2"/>
    <s v="Accessories"/>
    <x v="105"/>
    <x v="126"/>
    <n v="8"/>
    <n v="0"/>
    <n v="6.47"/>
    <n v="149.94"/>
    <n v="2"/>
    <n v="5.393824196345205E-3"/>
  </r>
  <r>
    <s v="ORD-1127 "/>
    <x v="97"/>
    <d v="2023-05-02T00:00:00"/>
    <s v="Sara Lee  "/>
    <x v="1"/>
    <s v="United States"/>
    <s v="Phoenix"/>
    <x v="2"/>
    <x v="2"/>
    <s v="Phones"/>
    <x v="106"/>
    <x v="127"/>
    <n v="9"/>
    <n v="0"/>
    <n v="-115.12"/>
    <n v="117.3322"/>
    <n v="9"/>
    <n v="-0.10901618386537752"/>
  </r>
  <r>
    <s v="ORD-1128 "/>
    <x v="98"/>
    <d v="2022-06-21T00:00:00"/>
    <s v="Alice Brown  "/>
    <x v="0"/>
    <s v="United States"/>
    <s v="Los Angeles"/>
    <x v="3"/>
    <x v="2"/>
    <s v="Copiers"/>
    <x v="87"/>
    <x v="128"/>
    <n v="9"/>
    <n v="0.15"/>
    <n v="63.78"/>
    <n v="31.783300000000001"/>
    <n v="3"/>
    <n v="0.22296801258521237"/>
  </r>
  <r>
    <s v="ORD-1129 "/>
    <x v="99"/>
    <d v="2023-07-03T00:00:00"/>
    <s v="Mohamed Ali "/>
    <x v="0"/>
    <s v="United States"/>
    <s v="Miami"/>
    <x v="0"/>
    <x v="1"/>
    <s v="Storage"/>
    <x v="107"/>
    <x v="129"/>
    <n v="10"/>
    <n v="0.1"/>
    <n v="-25.05"/>
    <n v="21.899000000000001"/>
    <n v="177"/>
    <n v="-0.11438878487602173"/>
  </r>
  <r>
    <s v="ORD-1130 "/>
    <x v="100"/>
    <d v="2022-02-26T00:00:00"/>
    <s v="Sara Lee  "/>
    <x v="0"/>
    <s v="United States"/>
    <s v="Seattle"/>
    <x v="3"/>
    <x v="2"/>
    <s v="Copiers"/>
    <x v="86"/>
    <x v="130"/>
    <n v="10"/>
    <n v="0.2"/>
    <n v="29.31"/>
    <n v="26.875"/>
    <n v="10"/>
    <n v="0.10906046511627907"/>
  </r>
  <r>
    <s v="ORD-1131 "/>
    <x v="101"/>
    <d v="2022-09-15T00:00:00"/>
    <s v="Sara Lee"/>
    <x v="2"/>
    <s v="United States "/>
    <s v="Chicago"/>
    <x v="3"/>
    <x v="2"/>
    <s v="Accessories"/>
    <x v="108"/>
    <x v="131"/>
    <n v="1"/>
    <n v="0.1"/>
    <n v="2.1"/>
    <n v="106.11"/>
    <n v="7"/>
    <n v="1.9790783149561775E-2"/>
  </r>
  <r>
    <s v="ORD-1132 "/>
    <x v="102"/>
    <d v="2024-06-06T00:00:00"/>
    <s v="Sara Lee"/>
    <x v="2"/>
    <s v="United States "/>
    <s v="Los Angeles"/>
    <x v="2"/>
    <x v="2"/>
    <s v="Phones"/>
    <x v="109"/>
    <x v="132"/>
    <n v="9"/>
    <n v="0"/>
    <n v="-134.80000000000001"/>
    <n v="101.9533"/>
    <n v="6"/>
    <n v="-0.14690817149458357"/>
  </r>
  <r>
    <s v="ORD-1133 "/>
    <x v="0"/>
    <d v="2022-02-26T00:00:00"/>
    <s v="Rahul Kumar"/>
    <x v="1"/>
    <s v="United States "/>
    <s v="Phoenix"/>
    <x v="1"/>
    <x v="2"/>
    <s v="Copiers"/>
    <x v="36"/>
    <x v="133"/>
    <n v="3"/>
    <n v="0.15"/>
    <n v="137.01"/>
    <n v="171.13329999999999"/>
    <n v="44618"/>
    <n v="0.26686793922867158"/>
  </r>
  <r>
    <s v="ORD-1134 "/>
    <x v="103"/>
    <d v="2024-06-24T00:00:00"/>
    <s v="Alice Brown  "/>
    <x v="2"/>
    <s v="United States"/>
    <s v="New York"/>
    <x v="3"/>
    <x v="2"/>
    <s v="Phones"/>
    <x v="110"/>
    <x v="134"/>
    <n v="7"/>
    <n v="0"/>
    <n v="3.61"/>
    <n v="18.037099999999999"/>
    <n v="5"/>
    <n v="2.8591794709329953E-2"/>
  </r>
  <r>
    <s v="ORD-1135 "/>
    <x v="104"/>
    <d v="2023-09-12T00:00:00"/>
    <s v="Rahul Kumar "/>
    <x v="2"/>
    <s v="United States"/>
    <s v="Houston"/>
    <x v="0"/>
    <x v="2"/>
    <s v="Copiers"/>
    <x v="111"/>
    <x v="135"/>
    <n v="2"/>
    <n v="0.2"/>
    <n v="-3.94"/>
    <n v="14.824999999999999"/>
    <n v="8"/>
    <n v="-0.13288364249578416"/>
  </r>
  <r>
    <s v="ORD-1136 "/>
    <x v="0"/>
    <d v="2023-08-03T00:00:00"/>
    <s v="Rahul Kumar  "/>
    <x v="0"/>
    <s v="United States"/>
    <s v="Los Angeles"/>
    <x v="0"/>
    <x v="2"/>
    <s v="Copiers"/>
    <x v="18"/>
    <x v="136"/>
    <n v="7"/>
    <n v="0"/>
    <n v="9.08"/>
    <n v="51.507100000000001"/>
    <n v="45141"/>
    <n v="2.5183747053113298E-2"/>
  </r>
  <r>
    <s v="ORD-1137 "/>
    <x v="0"/>
    <d v="2023-01-24T00:00:00"/>
    <s v="John Smith"/>
    <x v="1"/>
    <s v="United States "/>
    <s v="Seattle"/>
    <x v="3"/>
    <x v="1"/>
    <s v="Paper"/>
    <x v="112"/>
    <x v="137"/>
    <n v="4"/>
    <n v="0"/>
    <n v="49.7"/>
    <n v="227.715"/>
    <n v="44950"/>
    <n v="5.4563818808598473E-2"/>
  </r>
  <r>
    <s v="ORD-1138 "/>
    <x v="105"/>
    <d v="2023-06-24T00:00:00"/>
    <s v="Alice Brown "/>
    <x v="0"/>
    <s v="United States"/>
    <s v="Phoenix"/>
    <x v="3"/>
    <x v="0"/>
    <s v="Bookcases"/>
    <x v="20"/>
    <x v="138"/>
    <n v="3"/>
    <n v="0.15"/>
    <n v="285.32"/>
    <n v="357.9667"/>
    <n v="8"/>
    <n v="0.26568581804637298"/>
  </r>
  <r>
    <s v="ORD-1139 "/>
    <x v="106"/>
    <d v="2024-05-07T00:00:00"/>
    <s v="Rahul Kumar  "/>
    <x v="1"/>
    <s v="United States "/>
    <s v="Phoenix"/>
    <x v="3"/>
    <x v="1"/>
    <s v="Paper"/>
    <x v="113"/>
    <x v="139"/>
    <n v="5"/>
    <n v="0.2"/>
    <n v="178"/>
    <n v="171.262"/>
    <n v="9"/>
    <n v="0.20786864570073924"/>
  </r>
  <r>
    <s v="ORD-1140 "/>
    <x v="107"/>
    <d v="2024-06-13T00:00:00"/>
    <s v="Mohamed Ali "/>
    <x v="1"/>
    <s v="United States "/>
    <s v="Los Angeles"/>
    <x v="2"/>
    <x v="1"/>
    <s v="Paper"/>
    <x v="114"/>
    <x v="140"/>
    <n v="10"/>
    <n v="0"/>
    <n v="-28.74"/>
    <n v="33.332999999999998"/>
    <n v="1"/>
    <n v="-8.6220862208622087E-2"/>
  </r>
  <r>
    <s v="ORD-1141 "/>
    <x v="108"/>
    <d v="2023-08-12T00:00:00"/>
    <s v="Sara Lee  "/>
    <x v="0"/>
    <s v="United States "/>
    <s v="Miami"/>
    <x v="0"/>
    <x v="0"/>
    <s v="Chairs"/>
    <x v="115"/>
    <x v="141"/>
    <n v="7"/>
    <n v="0.1"/>
    <n v="3.5"/>
    <n v="77.204300000000003"/>
    <n v="2"/>
    <n v="6.4763244083415068E-3"/>
  </r>
  <r>
    <s v="ORD-1142 "/>
    <x v="109"/>
    <d v="2022-05-31T00:00:00"/>
    <s v="Sara Lee  "/>
    <x v="2"/>
    <s v="United States"/>
    <s v="Seattle"/>
    <x v="3"/>
    <x v="0"/>
    <s v="Bookcases"/>
    <x v="116"/>
    <x v="142"/>
    <n v="8"/>
    <n v="0"/>
    <n v="-4.68"/>
    <n v="50.445"/>
    <n v="9"/>
    <n v="-1.159678858162355E-2"/>
  </r>
  <r>
    <s v="ORD-1143 "/>
    <x v="110"/>
    <d v="2023-05-15T00:00:00"/>
    <s v="Alice Brown  "/>
    <x v="0"/>
    <s v="United States "/>
    <s v="Chicago"/>
    <x v="1"/>
    <x v="0"/>
    <s v="Tables"/>
    <x v="117"/>
    <x v="143"/>
    <n v="4"/>
    <n v="0.15"/>
    <n v="125.93"/>
    <n v="169.63499999999999"/>
    <n v="-174"/>
    <n v="0.18558964836266104"/>
  </r>
  <r>
    <s v="ORD-1144 "/>
    <x v="111"/>
    <d v="2023-08-02T00:00:00"/>
    <s v="Rahul Kumar"/>
    <x v="2"/>
    <s v="United States"/>
    <s v="Chicago"/>
    <x v="0"/>
    <x v="2"/>
    <s v="Phones"/>
    <x v="45"/>
    <x v="144"/>
    <n v="9"/>
    <n v="0.2"/>
    <n v="172.7"/>
    <n v="77.411100000000005"/>
    <n v="5"/>
    <n v="0.24788287641739626"/>
  </r>
  <r>
    <s v="ORD-1145 "/>
    <x v="0"/>
    <d v="2023-04-03T00:00:00"/>
    <s v="Rahul Kumar"/>
    <x v="1"/>
    <s v="United States "/>
    <s v="Los Angeles"/>
    <x v="0"/>
    <x v="1"/>
    <s v="Paper"/>
    <x v="118"/>
    <x v="145"/>
    <n v="9"/>
    <n v="0.15"/>
    <n v="72.62"/>
    <n v="30.277799999999999"/>
    <n v="45019"/>
    <n v="0.26649541284403672"/>
  </r>
  <r>
    <s v="ORD-1146 "/>
    <x v="112"/>
    <d v="2023-07-02T00:00:00"/>
    <s v="Alice Brown"/>
    <x v="0"/>
    <s v="United States "/>
    <s v="Houston"/>
    <x v="1"/>
    <x v="1"/>
    <s v="Binders"/>
    <x v="119"/>
    <x v="146"/>
    <n v="7"/>
    <n v="0.15"/>
    <n v="13"/>
    <n v="11.7057"/>
    <n v="4"/>
    <n v="0.15865267268733219"/>
  </r>
  <r>
    <s v="ORD-1147 "/>
    <x v="113"/>
    <d v="2023-11-02T00:00:00"/>
    <s v="Mohamed Ali  "/>
    <x v="0"/>
    <s v="United States"/>
    <s v="Los Angeles"/>
    <x v="1"/>
    <x v="2"/>
    <s v="Accessories"/>
    <x v="85"/>
    <x v="147"/>
    <n v="1"/>
    <n v="0"/>
    <n v="45.01"/>
    <n v="356.79"/>
    <n v="4"/>
    <n v="0.12615263880714145"/>
  </r>
  <r>
    <s v="ORD-1148 "/>
    <x v="114"/>
    <d v="2022-02-14T00:00:00"/>
    <s v="Mohamed Ali"/>
    <x v="2"/>
    <s v="United States"/>
    <s v="Houston"/>
    <x v="1"/>
    <x v="2"/>
    <s v="Phones"/>
    <x v="73"/>
    <x v="148"/>
    <n v="5"/>
    <n v="0"/>
    <n v="-219.83"/>
    <n v="225.04"/>
    <n v="-138"/>
    <n v="-0.19536971205119091"/>
  </r>
  <r>
    <s v="ORD-1149 "/>
    <x v="115"/>
    <d v="2024-05-30T00:00:00"/>
    <s v="Rahul Kumar  "/>
    <x v="1"/>
    <s v="United States"/>
    <s v="Seattle"/>
    <x v="3"/>
    <x v="2"/>
    <s v="Accessories"/>
    <x v="120"/>
    <x v="149"/>
    <n v="2"/>
    <n v="0.15"/>
    <n v="-29.39"/>
    <n v="123.76"/>
    <n v="9"/>
    <n v="-0.11873787976729153"/>
  </r>
  <r>
    <s v="ORD-1150 "/>
    <x v="116"/>
    <d v="2023-08-09T00:00:00"/>
    <s v="Sara Lee  "/>
    <x v="1"/>
    <s v="United States "/>
    <s v="Los Angeles"/>
    <x v="1"/>
    <x v="0"/>
    <s v="Bookcases"/>
    <x v="121"/>
    <x v="150"/>
    <n v="7"/>
    <n v="0.2"/>
    <n v="59.38"/>
    <n v="147.17859999999999"/>
    <n v="4"/>
    <n v="5.7636495996117448E-2"/>
  </r>
  <r>
    <s v="ORD-1151 "/>
    <x v="117"/>
    <d v="2022-09-13T00:00:00"/>
    <s v="Mohamed Ali"/>
    <x v="2"/>
    <s v="United States"/>
    <s v="Seattle"/>
    <x v="2"/>
    <x v="2"/>
    <s v="Accessories"/>
    <x v="17"/>
    <x v="151"/>
    <n v="5"/>
    <n v="0.15"/>
    <n v="-14.61"/>
    <n v="59.584000000000003"/>
    <n v="-87"/>
    <n v="-4.9040010741138555E-2"/>
  </r>
  <r>
    <s v="ORD-1152 "/>
    <x v="0"/>
    <d v="2023-11-17T00:00:00"/>
    <s v="Rahul Kumar "/>
    <x v="0"/>
    <s v="United States "/>
    <s v="Los Angeles"/>
    <x v="2"/>
    <x v="2"/>
    <s v="Accessories"/>
    <x v="122"/>
    <x v="152"/>
    <n v="9"/>
    <n v="0.15"/>
    <n v="30.26"/>
    <n v="23.1633"/>
    <n v="45247"/>
    <n v="0.14515277977646665"/>
  </r>
  <r>
    <s v="ORD-1153 "/>
    <x v="30"/>
    <d v="2022-06-14T00:00:00"/>
    <s v="Alice Brown"/>
    <x v="0"/>
    <s v="United States"/>
    <s v="Phoenix"/>
    <x v="1"/>
    <x v="1"/>
    <s v="Storage"/>
    <x v="123"/>
    <x v="153"/>
    <n v="9"/>
    <n v="0.2"/>
    <n v="82.35"/>
    <n v="51.2089"/>
    <n v="8"/>
    <n v="0.17867991668113173"/>
  </r>
  <r>
    <s v="ORD-1154 "/>
    <x v="0"/>
    <d v="2023-12-28T00:00:00"/>
    <s v="Alice Brown"/>
    <x v="2"/>
    <s v="United States "/>
    <s v="New York"/>
    <x v="2"/>
    <x v="0"/>
    <s v="Bookcases"/>
    <x v="124"/>
    <x v="154"/>
    <n v="9"/>
    <n v="0"/>
    <n v="-15.08"/>
    <n v="16.9344"/>
    <n v="45288"/>
    <n v="-9.8943638868840625E-2"/>
  </r>
  <r>
    <s v="ORD-1155 "/>
    <x v="118"/>
    <d v="2023-08-29T00:00:00"/>
    <s v="Sara Lee  "/>
    <x v="1"/>
    <s v="United States "/>
    <s v="Seattle"/>
    <x v="3"/>
    <x v="0"/>
    <s v="Bookcases"/>
    <x v="8"/>
    <x v="155"/>
    <n v="1"/>
    <n v="0.2"/>
    <n v="-73.13"/>
    <n v="545.66999999999996"/>
    <n v="8"/>
    <n v="-0.13401872926860556"/>
  </r>
  <r>
    <s v="ORD-1156 "/>
    <x v="119"/>
    <d v="2022-01-30T00:00:00"/>
    <s v="John Smith  "/>
    <x v="1"/>
    <s v="United States"/>
    <s v="Houston"/>
    <x v="0"/>
    <x v="2"/>
    <s v="Phones"/>
    <x v="125"/>
    <x v="156"/>
    <n v="10"/>
    <n v="0"/>
    <n v="-159.63"/>
    <n v="90.004999999999995"/>
    <n v="7"/>
    <n v="-0.17735681351036053"/>
  </r>
  <r>
    <s v="ORD-1157 "/>
    <x v="120"/>
    <d v="2023-02-26T00:00:00"/>
    <s v="Sara Lee "/>
    <x v="2"/>
    <s v="United States"/>
    <s v="Seattle"/>
    <x v="2"/>
    <x v="0"/>
    <s v="Bookcases"/>
    <x v="126"/>
    <x v="157"/>
    <n v="7"/>
    <n v="0.15"/>
    <n v="348.13"/>
    <n v="167.7757"/>
    <n v="3"/>
    <n v="0.296424648552915"/>
  </r>
  <r>
    <s v="ORD-1158 "/>
    <x v="121"/>
    <d v="2024-06-05T00:00:00"/>
    <s v="John Smith"/>
    <x v="2"/>
    <s v="United States "/>
    <s v="Seattle"/>
    <x v="1"/>
    <x v="0"/>
    <s v="Chairs"/>
    <x v="127"/>
    <x v="158"/>
    <n v="7"/>
    <n v="0"/>
    <n v="-162.44"/>
    <n v="170.22290000000001"/>
    <n v="6"/>
    <n v="-0.13632548927456445"/>
  </r>
  <r>
    <s v="ORD-1159 "/>
    <x v="0"/>
    <d v="2023-01-28T00:00:00"/>
    <s v="John Smith"/>
    <x v="0"/>
    <s v="United States "/>
    <s v="Phoenix"/>
    <x v="0"/>
    <x v="0"/>
    <s v="Tables"/>
    <x v="128"/>
    <x v="159"/>
    <n v="5"/>
    <n v="0.1"/>
    <n v="115.13"/>
    <n v="85.694000000000003"/>
    <n v="44954"/>
    <n v="0.26870025906131118"/>
  </r>
  <r>
    <s v="ORD-1160 "/>
    <x v="122"/>
    <d v="2022-08-02T00:00:00"/>
    <s v="Sara Lee "/>
    <x v="1"/>
    <s v="United States "/>
    <s v="Miami"/>
    <x v="0"/>
    <x v="0"/>
    <s v="Bookcases"/>
    <x v="91"/>
    <x v="160"/>
    <n v="10"/>
    <n v="0"/>
    <n v="-4.63"/>
    <n v="5.9619999999999997"/>
    <n v="2"/>
    <n v="-7.7658503857765848E-2"/>
  </r>
  <r>
    <s v="ORD-1161 "/>
    <x v="123"/>
    <d v="2023-06-05T00:00:00"/>
    <s v="Alice Brown "/>
    <x v="1"/>
    <s v="United States "/>
    <s v="Houston"/>
    <x v="3"/>
    <x v="0"/>
    <s v="Bookcases"/>
    <x v="71"/>
    <x v="161"/>
    <n v="10"/>
    <n v="0"/>
    <n v="130.35"/>
    <n v="69.980999999999995"/>
    <n v="5"/>
    <n v="0.18626484331461396"/>
  </r>
  <r>
    <s v="ORD-1162 "/>
    <x v="124"/>
    <d v="2022-03-13T00:00:00"/>
    <s v="Sara Lee  "/>
    <x v="2"/>
    <s v="United States "/>
    <s v="Houston"/>
    <x v="2"/>
    <x v="1"/>
    <s v="Storage"/>
    <x v="129"/>
    <x v="162"/>
    <n v="7"/>
    <n v="0"/>
    <n v="52.38"/>
    <n v="156.52289999999999"/>
    <n v="9"/>
    <n v="4.780680137999014E-2"/>
  </r>
  <r>
    <s v="ORD-1163 "/>
    <x v="125"/>
    <d v="2023-01-24T00:00:00"/>
    <s v="Sara Lee"/>
    <x v="0"/>
    <s v="United States "/>
    <s v="Houston"/>
    <x v="2"/>
    <x v="1"/>
    <s v="Paper"/>
    <x v="70"/>
    <x v="163"/>
    <n v="4"/>
    <n v="0.15"/>
    <n v="69.62"/>
    <n v="76.084999999999994"/>
    <n v="3"/>
    <n v="0.22875731090228038"/>
  </r>
  <r>
    <s v="ORD-1164 "/>
    <x v="126"/>
    <d v="2022-09-11T00:00:00"/>
    <s v="Alice Brown"/>
    <x v="2"/>
    <s v="United States "/>
    <s v="Seattle"/>
    <x v="0"/>
    <x v="0"/>
    <s v="Tables"/>
    <x v="130"/>
    <x v="164"/>
    <n v="8"/>
    <n v="0.15"/>
    <n v="-120.42"/>
    <n v="97.888800000000003"/>
    <n v="94"/>
    <n v="-0.15377150081086949"/>
  </r>
  <r>
    <s v="ORD-1165 "/>
    <x v="127"/>
    <d v="2022-07-22T00:00:00"/>
    <s v="Rahul Kumar"/>
    <x v="1"/>
    <s v="United States "/>
    <s v="Seattle"/>
    <x v="0"/>
    <x v="1"/>
    <s v="Storage"/>
    <x v="131"/>
    <x v="165"/>
    <n v="8"/>
    <n v="0.1"/>
    <n v="159.49"/>
    <n v="84.93"/>
    <n v="10"/>
    <n v="0.23473743082538562"/>
  </r>
  <r>
    <s v="ORD-1166 "/>
    <x v="128"/>
    <d v="2024-02-20T00:00:00"/>
    <s v="Rahul Kumar "/>
    <x v="2"/>
    <s v="United States "/>
    <s v="Phoenix"/>
    <x v="3"/>
    <x v="0"/>
    <s v="Bookcases"/>
    <x v="92"/>
    <x v="166"/>
    <n v="4"/>
    <n v="0.2"/>
    <n v="188.84"/>
    <n v="183.29750000000001"/>
    <n v="-286"/>
    <n v="0.25755943207081383"/>
  </r>
  <r>
    <s v="ORD-1167 "/>
    <x v="129"/>
    <d v="2022-10-01T00:00:00"/>
    <s v="Rahul Kumar "/>
    <x v="1"/>
    <s v="United States "/>
    <s v="Seattle"/>
    <x v="2"/>
    <x v="1"/>
    <s v="Paper"/>
    <x v="132"/>
    <x v="167"/>
    <n v="8"/>
    <n v="0.15"/>
    <n v="146.55000000000001"/>
    <n v="71.234999999999999"/>
    <n v="6"/>
    <n v="0.2571594019793641"/>
  </r>
  <r>
    <s v="ORD-1168 "/>
    <x v="129"/>
    <d v="2022-10-04T00:00:00"/>
    <s v="Sara Lee  "/>
    <x v="1"/>
    <s v="United States "/>
    <s v="Phoenix"/>
    <x v="3"/>
    <x v="1"/>
    <s v="Storage"/>
    <x v="133"/>
    <x v="168"/>
    <n v="5"/>
    <n v="0.1"/>
    <n v="-88.62"/>
    <n v="173.922"/>
    <n v="9"/>
    <n v="-0.10190775175078484"/>
  </r>
  <r>
    <s v="ORD-1169 "/>
    <x v="130"/>
    <d v="2024-02-29T00:00:00"/>
    <s v="Alice Brown"/>
    <x v="0"/>
    <s v="United States "/>
    <s v="Los Angeles"/>
    <x v="0"/>
    <x v="1"/>
    <s v="Storage"/>
    <x v="123"/>
    <x v="169"/>
    <n v="8"/>
    <n v="0.1"/>
    <n v="148.54"/>
    <n v="111.59"/>
    <n v="8"/>
    <n v="0.16639035755892104"/>
  </r>
  <r>
    <s v="ORD-1170 "/>
    <x v="131"/>
    <d v="2022-02-06T00:00:00"/>
    <s v="John Smith  "/>
    <x v="1"/>
    <s v="United States"/>
    <s v="Los Angeles"/>
    <x v="1"/>
    <x v="1"/>
    <s v="Binders"/>
    <x v="41"/>
    <x v="170"/>
    <n v="7"/>
    <n v="0.1"/>
    <n v="204"/>
    <n v="131.7029"/>
    <n v="2"/>
    <n v="0.22127733425893789"/>
  </r>
  <r>
    <s v="ORD-1171 "/>
    <x v="132"/>
    <d v="2022-03-13T00:00:00"/>
    <s v="Mohamed Ali "/>
    <x v="1"/>
    <s v="United States"/>
    <s v="Phoenix"/>
    <x v="3"/>
    <x v="1"/>
    <s v="Storage"/>
    <x v="134"/>
    <x v="171"/>
    <n v="8"/>
    <n v="0.2"/>
    <n v="-215.58"/>
    <n v="140.25120000000001"/>
    <n v="10"/>
    <n v="-0.19213732497927827"/>
  </r>
  <r>
    <s v="ORD-1172 "/>
    <x v="0"/>
    <d v="2022-10-22T00:00:00"/>
    <s v="Alice Brown"/>
    <x v="1"/>
    <s v="United States"/>
    <s v="Miami"/>
    <x v="3"/>
    <x v="1"/>
    <s v="Storage"/>
    <x v="135"/>
    <x v="172"/>
    <n v="3"/>
    <n v="0"/>
    <n v="211.2"/>
    <n v="271.7867"/>
    <n v="44856"/>
    <n v="0.25902668759811615"/>
  </r>
  <r>
    <s v="ORD-1173 "/>
    <x v="0"/>
    <d v="2024-04-01T00:00:00"/>
    <s v="Alice Brown "/>
    <x v="0"/>
    <s v="United States"/>
    <s v="Seattle"/>
    <x v="0"/>
    <x v="0"/>
    <s v="Tables"/>
    <x v="94"/>
    <x v="173"/>
    <n v="8"/>
    <n v="0"/>
    <n v="-90.31"/>
    <n v="143.99629999999999"/>
    <n v="45383"/>
    <n v="-7.8396138788336497E-2"/>
  </r>
  <r>
    <s v="ORD-1174 "/>
    <x v="133"/>
    <d v="2023-02-27T00:00:00"/>
    <s v="Rahul Kumar  "/>
    <x v="1"/>
    <s v="United States"/>
    <s v="Los Angeles"/>
    <x v="2"/>
    <x v="2"/>
    <s v="Copiers"/>
    <x v="66"/>
    <x v="174"/>
    <n v="1"/>
    <n v="0.1"/>
    <n v="-92.29"/>
    <n v="581.69000000000005"/>
    <n v="7"/>
    <n v="-0.1586583919269714"/>
  </r>
  <r>
    <s v="ORD-1175 "/>
    <x v="5"/>
    <d v="2023-08-12T00:00:00"/>
    <s v="Alice Brown "/>
    <x v="1"/>
    <s v="United States "/>
    <s v="Phoenix"/>
    <x v="2"/>
    <x v="2"/>
    <s v="Phones"/>
    <x v="136"/>
    <x v="175"/>
    <n v="5"/>
    <n v="0"/>
    <n v="90.79"/>
    <n v="222.102"/>
    <n v="8"/>
    <n v="8.1755229579202351E-2"/>
  </r>
  <r>
    <s v="ORD-1176 "/>
    <x v="134"/>
    <d v="2024-04-27T00:00:00"/>
    <s v="Mohamed Ali "/>
    <x v="2"/>
    <s v="United States "/>
    <s v="Miami"/>
    <x v="0"/>
    <x v="0"/>
    <s v="Tables"/>
    <x v="137"/>
    <x v="176"/>
    <n v="4"/>
    <n v="0"/>
    <n v="46.01"/>
    <n v="52.922499999999999"/>
    <n v="7"/>
    <n v="0.21734611932542869"/>
  </r>
  <r>
    <s v="ORD-1177 "/>
    <x v="135"/>
    <d v="2024-02-09T00:00:00"/>
    <s v="Mohamed Ali "/>
    <x v="2"/>
    <s v="United States"/>
    <s v="Seattle"/>
    <x v="3"/>
    <x v="0"/>
    <s v="Chairs"/>
    <x v="138"/>
    <x v="177"/>
    <n v="2"/>
    <n v="0.15"/>
    <n v="54.96"/>
    <n v="267.88"/>
    <n v="-22"/>
    <n v="0.10258324622965508"/>
  </r>
  <r>
    <s v="ORD-1178 "/>
    <x v="0"/>
    <d v="2023-05-22T00:00:00"/>
    <s v="Sara Lee"/>
    <x v="0"/>
    <s v="United States"/>
    <s v="Miami"/>
    <x v="2"/>
    <x v="2"/>
    <s v="Copiers"/>
    <x v="12"/>
    <x v="178"/>
    <n v="7"/>
    <n v="0.1"/>
    <n v="158.1"/>
    <n v="161.50710000000001"/>
    <n v="45068"/>
    <n v="0.13984343903409846"/>
  </r>
  <r>
    <s v="ORD-1179 "/>
    <x v="136"/>
    <d v="2022-03-19T00:00:00"/>
    <s v="John Smith"/>
    <x v="2"/>
    <s v="United States "/>
    <s v="Chicago"/>
    <x v="3"/>
    <x v="2"/>
    <s v="Phones"/>
    <x v="109"/>
    <x v="179"/>
    <n v="3"/>
    <n v="0.2"/>
    <n v="-19.510000000000002"/>
    <n v="156.13329999999999"/>
    <n v="2"/>
    <n v="-4.1652433817250221E-2"/>
  </r>
  <r>
    <s v="ORD-1180 "/>
    <x v="137"/>
    <d v="2022-05-18T00:00:00"/>
    <s v="John Smith "/>
    <x v="0"/>
    <s v="United States"/>
    <s v="Phoenix"/>
    <x v="3"/>
    <x v="0"/>
    <s v="Tables"/>
    <x v="2"/>
    <x v="180"/>
    <n v="9"/>
    <n v="0"/>
    <n v="2.21"/>
    <n v="61.071100000000001"/>
    <n v="2"/>
    <n v="4.0208136234626303E-3"/>
  </r>
  <r>
    <s v="ORD-1181 "/>
    <x v="138"/>
    <d v="2022-01-18T00:00:00"/>
    <s v="Sara Lee"/>
    <x v="1"/>
    <s v="United States"/>
    <s v="Chicago"/>
    <x v="3"/>
    <x v="2"/>
    <s v="Accessories"/>
    <x v="139"/>
    <x v="181"/>
    <n v="9"/>
    <n v="0.1"/>
    <n v="80.77"/>
    <n v="104.38"/>
    <n v="5"/>
    <n v="8.597858252964595E-2"/>
  </r>
  <r>
    <s v="ORD-1182 "/>
    <x v="139"/>
    <d v="2022-06-01T00:00:00"/>
    <s v="Rahul Kumar"/>
    <x v="0"/>
    <s v="United States "/>
    <s v="Phoenix"/>
    <x v="2"/>
    <x v="0"/>
    <s v="Tables"/>
    <x v="140"/>
    <x v="182"/>
    <n v="5"/>
    <n v="0.2"/>
    <n v="66.13"/>
    <n v="69.128"/>
    <n v="2"/>
    <n v="0.19132623538942251"/>
  </r>
  <r>
    <s v="ORD-1183 "/>
    <x v="140"/>
    <d v="2022-04-23T00:00:00"/>
    <s v="Sara Lee "/>
    <x v="2"/>
    <s v="United States "/>
    <s v="Chicago"/>
    <x v="3"/>
    <x v="2"/>
    <s v="Phones"/>
    <x v="141"/>
    <x v="183"/>
    <n v="6"/>
    <n v="0"/>
    <n v="-11.46"/>
    <n v="189.935"/>
    <n v="3"/>
    <n v="-1.0056071814041648E-2"/>
  </r>
  <r>
    <s v="ORD-1184 "/>
    <x v="0"/>
    <d v="2023-12-17T00:00:00"/>
    <s v="Sara Lee  "/>
    <x v="1"/>
    <s v="United States"/>
    <s v="Houston"/>
    <x v="3"/>
    <x v="2"/>
    <s v="Accessories"/>
    <x v="142"/>
    <x v="184"/>
    <n v="7"/>
    <n v="0.15"/>
    <n v="-12.46"/>
    <n v="32.801400000000001"/>
    <n v="45277"/>
    <n v="-5.4265929184268979E-2"/>
  </r>
  <r>
    <s v="ORD-1185 "/>
    <x v="141"/>
    <d v="2023-01-11T00:00:00"/>
    <s v="John Smith  "/>
    <x v="2"/>
    <s v="United States "/>
    <s v="Houston"/>
    <x v="3"/>
    <x v="1"/>
    <s v="Binders"/>
    <x v="143"/>
    <x v="185"/>
    <n v="9"/>
    <n v="0.1"/>
    <n v="101.25"/>
    <n v="79.87"/>
    <n v="-233"/>
    <n v="0.14085388756729686"/>
  </r>
  <r>
    <s v="ORD-1186 "/>
    <x v="142"/>
    <d v="2022-03-19T00:00:00"/>
    <s v="Sara Lee "/>
    <x v="1"/>
    <s v="United States "/>
    <s v="Phoenix"/>
    <x v="1"/>
    <x v="1"/>
    <s v="Paper"/>
    <x v="144"/>
    <x v="186"/>
    <n v="5"/>
    <n v="0.1"/>
    <n v="-13.57"/>
    <n v="36.845999999999997"/>
    <n v="7"/>
    <n v="-7.365792759051186E-2"/>
  </r>
  <r>
    <s v="ORD-1187 "/>
    <x v="0"/>
    <d v="2023-02-24T00:00:00"/>
    <s v="Mohamed Ali  "/>
    <x v="1"/>
    <s v="United States"/>
    <s v="Miami"/>
    <x v="2"/>
    <x v="1"/>
    <s v="Storage"/>
    <x v="145"/>
    <x v="187"/>
    <n v="1"/>
    <n v="0.15"/>
    <n v="77.459999999999994"/>
    <n v="513.59"/>
    <n v="44981"/>
    <n v="0.1508206935493292"/>
  </r>
  <r>
    <s v="ORD-1188 "/>
    <x v="143"/>
    <d v="2023-11-18T00:00:00"/>
    <s v="Sara Lee"/>
    <x v="1"/>
    <s v="United States"/>
    <s v="Chicago"/>
    <x v="2"/>
    <x v="0"/>
    <s v="Bookcases"/>
    <x v="20"/>
    <x v="188"/>
    <n v="10"/>
    <n v="0.2"/>
    <n v="210.56"/>
    <n v="74.296000000000006"/>
    <n v="6"/>
    <n v="0.28340691288898462"/>
  </r>
  <r>
    <s v="ORD-1189 "/>
    <x v="144"/>
    <d v="2024-02-13T00:00:00"/>
    <s v="Mohamed Ali  "/>
    <x v="0"/>
    <s v="United States "/>
    <s v="Chicago"/>
    <x v="0"/>
    <x v="1"/>
    <s v="Storage"/>
    <x v="146"/>
    <x v="189"/>
    <n v="4"/>
    <n v="0.2"/>
    <n v="-10.76"/>
    <n v="207.86"/>
    <n v="9"/>
    <n v="-1.2941402867314537E-2"/>
  </r>
  <r>
    <s v="ORD-1190 "/>
    <x v="145"/>
    <d v="2022-04-23T00:00:00"/>
    <s v="Alice Brown  "/>
    <x v="2"/>
    <s v="United States"/>
    <s v="Houston"/>
    <x v="0"/>
    <x v="2"/>
    <s v="Phones"/>
    <x v="147"/>
    <x v="190"/>
    <n v="3"/>
    <n v="0.15"/>
    <n v="-6.91"/>
    <n v="52.32"/>
    <n v="5"/>
    <n v="-4.4023955147808359E-2"/>
  </r>
  <r>
    <s v="ORD-1191 "/>
    <x v="146"/>
    <d v="2024-01-18T00:00:00"/>
    <s v="John Smith  "/>
    <x v="1"/>
    <s v="United States "/>
    <s v="Phoenix"/>
    <x v="2"/>
    <x v="2"/>
    <s v="Phones"/>
    <x v="148"/>
    <x v="191"/>
    <n v="2"/>
    <n v="0"/>
    <n v="84.07"/>
    <n v="187.155"/>
    <n v="-257"/>
    <n v="0.22459993053885816"/>
  </r>
  <r>
    <s v="ORD-1192 "/>
    <x v="147"/>
    <d v="2022-06-19T00:00:00"/>
    <s v="Sara Lee "/>
    <x v="1"/>
    <s v="United States "/>
    <s v="Houston"/>
    <x v="1"/>
    <x v="1"/>
    <s v="Paper"/>
    <x v="70"/>
    <x v="192"/>
    <n v="4"/>
    <n v="0.2"/>
    <n v="132.22999999999999"/>
    <n v="287.7475"/>
    <n v="6"/>
    <n v="0.11488370880720075"/>
  </r>
  <r>
    <s v="ORD-1193 "/>
    <x v="148"/>
    <d v="2022-01-09T00:00:00"/>
    <s v="Alice Brown "/>
    <x v="2"/>
    <s v="United States "/>
    <s v="Houston"/>
    <x v="0"/>
    <x v="0"/>
    <s v="Tables"/>
    <x v="38"/>
    <x v="193"/>
    <n v="2"/>
    <n v="0"/>
    <n v="-135.37"/>
    <n v="453.87"/>
    <n v="-112"/>
    <n v="-0.14912860510718928"/>
  </r>
  <r>
    <s v="ORD-1194 "/>
    <x v="149"/>
    <d v="2023-11-26T00:00:00"/>
    <s v="Rahul Kumar "/>
    <x v="2"/>
    <s v="United States "/>
    <s v="Miami"/>
    <x v="3"/>
    <x v="1"/>
    <s v="Storage"/>
    <x v="50"/>
    <x v="194"/>
    <n v="7"/>
    <n v="0"/>
    <n v="-1.45"/>
    <n v="55.688600000000001"/>
    <n v="8"/>
    <n v="-3.719665486634857E-3"/>
  </r>
  <r>
    <s v="ORD-1195 "/>
    <x v="150"/>
    <d v="2023-08-30T00:00:00"/>
    <s v="Alice Brown  "/>
    <x v="2"/>
    <s v="United States "/>
    <s v="Phoenix"/>
    <x v="2"/>
    <x v="1"/>
    <s v="Binders"/>
    <x v="149"/>
    <x v="195"/>
    <n v="4"/>
    <n v="0.15"/>
    <n v="-55.13"/>
    <n v="97.39"/>
    <n v="2"/>
    <n v="-0.14151863641030907"/>
  </r>
  <r>
    <s v="ORD-1196 "/>
    <x v="151"/>
    <d v="2023-02-04T00:00:00"/>
    <s v="Alice Brown"/>
    <x v="2"/>
    <s v="United States "/>
    <s v="Phoenix"/>
    <x v="0"/>
    <x v="0"/>
    <s v="Tables"/>
    <x v="117"/>
    <x v="196"/>
    <n v="3"/>
    <n v="0"/>
    <n v="-89.74"/>
    <n v="256.63"/>
    <n v="7"/>
    <n v="-0.11656210627492239"/>
  </r>
  <r>
    <s v="ORD-1197 "/>
    <x v="152"/>
    <d v="2022-01-18T00:00:00"/>
    <s v="Sara Lee "/>
    <x v="0"/>
    <s v="United States "/>
    <s v="Houston"/>
    <x v="2"/>
    <x v="0"/>
    <s v="Chairs"/>
    <x v="150"/>
    <x v="197"/>
    <n v="9"/>
    <n v="0"/>
    <n v="124.25"/>
    <n v="109.1056"/>
    <n v="8"/>
    <n v="0.1265339375731962"/>
  </r>
  <r>
    <s v="ORD-1198 "/>
    <x v="153"/>
    <d v="2023-08-03T00:00:00"/>
    <s v="Mohamed Ali  "/>
    <x v="2"/>
    <s v="United States"/>
    <s v="Phoenix"/>
    <x v="0"/>
    <x v="0"/>
    <s v="Tables"/>
    <x v="151"/>
    <x v="198"/>
    <n v="4"/>
    <n v="0"/>
    <n v="-3.26"/>
    <n v="14.645"/>
    <n v="1"/>
    <n v="-5.565039262546944E-2"/>
  </r>
  <r>
    <s v="ORD-1199 "/>
    <x v="154"/>
    <d v="2024-03-13T00:00:00"/>
    <s v="John Smith  "/>
    <x v="0"/>
    <s v="United States "/>
    <s v="Chicago"/>
    <x v="0"/>
    <x v="2"/>
    <s v="Copiers"/>
    <x v="152"/>
    <x v="199"/>
    <n v="1"/>
    <n v="0.2"/>
    <n v="72.489999999999995"/>
    <n v="990.68"/>
    <n v="9"/>
    <n v="7.3171962692292161E-2"/>
  </r>
  <r>
    <s v="ORD-1200 "/>
    <x v="0"/>
    <d v="2022-10-03T00:00:00"/>
    <s v="Mohamed Ali  "/>
    <x v="2"/>
    <s v="United States "/>
    <s v="Los Angeles"/>
    <x v="2"/>
    <x v="0"/>
    <s v="Tables"/>
    <x v="5"/>
    <x v="200"/>
    <n v="2"/>
    <n v="0.1"/>
    <n v="-98.96"/>
    <n v="520.52"/>
    <n v="44837"/>
    <n v="-9.5058787366479672E-2"/>
  </r>
  <r>
    <s v="ORD-1201 "/>
    <x v="155"/>
    <d v="2024-04-17T00:00:00"/>
    <s v="Rahul Kumar "/>
    <x v="0"/>
    <s v="United States"/>
    <s v="Miami"/>
    <x v="0"/>
    <x v="0"/>
    <s v="Bookcases"/>
    <x v="91"/>
    <x v="201"/>
    <n v="5"/>
    <n v="0"/>
    <n v="30.11"/>
    <n v="86.792000000000002"/>
    <n v="4"/>
    <n v="6.9384275048391564E-2"/>
  </r>
  <r>
    <s v="ORD-1202 "/>
    <x v="156"/>
    <d v="2024-02-15T00:00:00"/>
    <s v="Rahul Kumar"/>
    <x v="0"/>
    <s v="United States "/>
    <s v="Houston"/>
    <x v="2"/>
    <x v="0"/>
    <s v="Tables"/>
    <x v="153"/>
    <x v="202"/>
    <n v="3"/>
    <n v="0.1"/>
    <n v="-78.400000000000006"/>
    <n v="347.70670000000001"/>
    <n v="-169"/>
    <n v="-7.5159137970703283E-2"/>
  </r>
  <r>
    <s v="ORD-1203 "/>
    <x v="157"/>
    <d v="2023-10-15T00:00:00"/>
    <s v="Rahul Kumar  "/>
    <x v="2"/>
    <s v="United States "/>
    <s v="Houston"/>
    <x v="3"/>
    <x v="1"/>
    <s v="Paper"/>
    <x v="144"/>
    <x v="203"/>
    <n v="2"/>
    <n v="0"/>
    <n v="0.66"/>
    <n v="231.35"/>
    <n v="5"/>
    <n v="1.4264102009941648E-3"/>
  </r>
  <r>
    <s v="ORD-1204 "/>
    <x v="158"/>
    <d v="2022-01-05T00:00:00"/>
    <s v="Alice Brown "/>
    <x v="1"/>
    <s v="United States "/>
    <s v="Chicago"/>
    <x v="3"/>
    <x v="1"/>
    <s v="Paper"/>
    <x v="154"/>
    <x v="204"/>
    <n v="6"/>
    <n v="0"/>
    <n v="152.16"/>
    <n v="128.185"/>
    <n v="2"/>
    <n v="0.19783906073253499"/>
  </r>
  <r>
    <s v="ORD-1205 "/>
    <x v="159"/>
    <d v="2022-12-21T00:00:00"/>
    <s v="John Smith"/>
    <x v="0"/>
    <s v="United States "/>
    <s v="New York"/>
    <x v="0"/>
    <x v="1"/>
    <s v="Binders"/>
    <x v="155"/>
    <x v="205"/>
    <n v="8"/>
    <n v="0.15"/>
    <n v="170"/>
    <n v="86.006200000000007"/>
    <n v="9"/>
    <n v="0.24707506721895212"/>
  </r>
  <r>
    <s v="ORD-1206 "/>
    <x v="160"/>
    <d v="2023-04-05T00:00:00"/>
    <s v="John Smith  "/>
    <x v="2"/>
    <s v="United States"/>
    <s v="New York"/>
    <x v="3"/>
    <x v="0"/>
    <s v="Tables"/>
    <x v="156"/>
    <x v="206"/>
    <n v="3"/>
    <n v="0.15"/>
    <n v="-31.18"/>
    <n v="86.246700000000004"/>
    <n v="8"/>
    <n v="-0.1205070727371106"/>
  </r>
  <r>
    <s v="ORD-1207 "/>
    <x v="0"/>
    <d v="2023-10-30T00:00:00"/>
    <s v="John Smith"/>
    <x v="1"/>
    <s v="United States "/>
    <s v="New York"/>
    <x v="2"/>
    <x v="0"/>
    <s v="Tables"/>
    <x v="157"/>
    <x v="207"/>
    <n v="4"/>
    <n v="0.2"/>
    <n v="96.86"/>
    <n v="189.55250000000001"/>
    <n v="45229"/>
    <n v="0.12774824916579838"/>
  </r>
  <r>
    <s v="ORD-1208 "/>
    <x v="161"/>
    <d v="2022-08-29T00:00:00"/>
    <s v="Alice Brown "/>
    <x v="1"/>
    <s v="United States "/>
    <s v="Houston"/>
    <x v="0"/>
    <x v="1"/>
    <s v="Paper"/>
    <x v="113"/>
    <x v="208"/>
    <n v="6"/>
    <n v="0"/>
    <n v="9.1"/>
    <n v="5.16"/>
    <n v="9"/>
    <n v="0.29392764857881137"/>
  </r>
  <r>
    <s v="ORD-1209 "/>
    <x v="23"/>
    <d v="2024-04-07T00:00:00"/>
    <s v="Alice Brown"/>
    <x v="0"/>
    <s v="United States"/>
    <s v="Phoenix"/>
    <x v="2"/>
    <x v="0"/>
    <s v="Tables"/>
    <x v="158"/>
    <x v="209"/>
    <n v="5"/>
    <n v="0.1"/>
    <n v="-3.92"/>
    <n v="90.744"/>
    <n v="2"/>
    <n v="-8.6396896764524365E-3"/>
  </r>
  <r>
    <s v="ORD-1210 "/>
    <x v="162"/>
    <d v="2022-12-30T00:00:00"/>
    <s v="John Smith"/>
    <x v="1"/>
    <s v="United States"/>
    <s v="Phoenix"/>
    <x v="1"/>
    <x v="1"/>
    <s v="Storage"/>
    <x v="159"/>
    <x v="210"/>
    <n v="7"/>
    <n v="0"/>
    <n v="28.46"/>
    <n v="28.374300000000002"/>
    <n v="4"/>
    <n v="0.1432886919746249"/>
  </r>
  <r>
    <s v="ORD-1211 "/>
    <x v="0"/>
    <d v="2023-03-22T00:00:00"/>
    <s v="Mohamed Ali "/>
    <x v="0"/>
    <s v="United States"/>
    <s v="Miami"/>
    <x v="3"/>
    <x v="0"/>
    <s v="Chairs"/>
    <x v="35"/>
    <x v="211"/>
    <n v="2"/>
    <n v="0.1"/>
    <n v="26.6"/>
    <n v="173.41"/>
    <n v="45007"/>
    <n v="7.6696845625973134E-2"/>
  </r>
  <r>
    <s v="ORD-1212 "/>
    <x v="44"/>
    <d v="2023-06-25T00:00:00"/>
    <s v="Sara Lee "/>
    <x v="1"/>
    <s v="United States "/>
    <s v="Houston"/>
    <x v="0"/>
    <x v="1"/>
    <s v="Binders"/>
    <x v="160"/>
    <x v="212"/>
    <n v="5"/>
    <n v="0"/>
    <n v="173.18"/>
    <n v="180.49199999999999"/>
    <n v="10"/>
    <n v="0.19189770183720053"/>
  </r>
  <r>
    <s v="ORD-1213 "/>
    <x v="0"/>
    <d v="2022-01-19T00:00:00"/>
    <s v="Alice Brown "/>
    <x v="1"/>
    <s v="United States"/>
    <s v="Phoenix"/>
    <x v="0"/>
    <x v="2"/>
    <s v="Phones"/>
    <x v="96"/>
    <x v="213"/>
    <n v="10"/>
    <n v="0.2"/>
    <n v="-8.24"/>
    <n v="47.646999999999998"/>
    <n v="44580"/>
    <n v="-1.7293848510924088E-2"/>
  </r>
  <r>
    <s v="ORD-1214 "/>
    <x v="0"/>
    <d v="2022-09-30T00:00:00"/>
    <s v="Mohamed Ali "/>
    <x v="2"/>
    <s v="United States "/>
    <s v="New York"/>
    <x v="2"/>
    <x v="0"/>
    <s v="Chairs"/>
    <x v="161"/>
    <x v="214"/>
    <n v="7"/>
    <n v="0"/>
    <n v="-64.67"/>
    <n v="162.77709999999999"/>
    <n v="44834"/>
    <n v="-5.6755950291371197E-2"/>
  </r>
  <r>
    <s v="ORD-1215 "/>
    <x v="0"/>
    <d v="2022-04-01T00:00:00"/>
    <s v="John Smith "/>
    <x v="0"/>
    <s v="United States "/>
    <s v="Seattle"/>
    <x v="2"/>
    <x v="0"/>
    <s v="Bookcases"/>
    <x v="162"/>
    <x v="215"/>
    <n v="3"/>
    <n v="0"/>
    <n v="-40.53"/>
    <n v="368.89670000000001"/>
    <n v="44652"/>
    <n v="-3.6622721810082318E-2"/>
  </r>
  <r>
    <s v="ORD-1216 "/>
    <x v="163"/>
    <d v="2022-09-10T00:00:00"/>
    <s v="Alice Brown"/>
    <x v="1"/>
    <s v="United States "/>
    <s v="Seattle"/>
    <x v="0"/>
    <x v="2"/>
    <s v="Phones"/>
    <x v="163"/>
    <x v="216"/>
    <n v="10"/>
    <n v="0"/>
    <n v="-25.17"/>
    <n v="55.497999999999998"/>
    <n v="32"/>
    <n v="-4.5352985693178131E-2"/>
  </r>
  <r>
    <s v="ORD-1217 "/>
    <x v="0"/>
    <d v="2023-05-30T00:00:00"/>
    <s v="Rahul Kumar  "/>
    <x v="1"/>
    <s v="United States"/>
    <s v="Chicago"/>
    <x v="1"/>
    <x v="1"/>
    <s v="Storage"/>
    <x v="135"/>
    <x v="217"/>
    <n v="5"/>
    <n v="0.1"/>
    <n v="-13.28"/>
    <n v="188.78399999999999"/>
    <n v="45076"/>
    <n v="-1.4068988897364184E-2"/>
  </r>
  <r>
    <s v="ORD-1218 "/>
    <x v="164"/>
    <d v="2023-06-23T00:00:00"/>
    <s v="John Smith "/>
    <x v="0"/>
    <s v="United States "/>
    <s v="Chicago"/>
    <x v="2"/>
    <x v="2"/>
    <s v="Copiers"/>
    <x v="164"/>
    <x v="218"/>
    <n v="2"/>
    <n v="0.2"/>
    <n v="32.31"/>
    <n v="585.28"/>
    <n v="2"/>
    <n v="2.760217331875342E-2"/>
  </r>
  <r>
    <s v="ORD-1219 "/>
    <x v="135"/>
    <d v="2024-03-04T00:00:00"/>
    <s v="Alice Brown"/>
    <x v="2"/>
    <s v="United States"/>
    <s v="Houston"/>
    <x v="2"/>
    <x v="1"/>
    <s v="Storage"/>
    <x v="165"/>
    <x v="219"/>
    <n v="4"/>
    <n v="0"/>
    <n v="-173.46"/>
    <n v="218.22"/>
    <n v="2"/>
    <n v="-0.19872147374209514"/>
  </r>
  <r>
    <s v="ORD-1220 "/>
    <x v="165"/>
    <d v="2024-05-29T00:00:00"/>
    <s v="Rahul Kumar "/>
    <x v="1"/>
    <s v="United States"/>
    <s v="New York"/>
    <x v="0"/>
    <x v="1"/>
    <s v="Storage"/>
    <x v="165"/>
    <x v="220"/>
    <n v="7"/>
    <n v="0.1"/>
    <n v="-34.950000000000003"/>
    <n v="127.7129"/>
    <n v="1"/>
    <n v="-3.9094397029049544E-2"/>
  </r>
  <r>
    <s v="ORD-1221 "/>
    <x v="166"/>
    <d v="2022-08-26T00:00:00"/>
    <s v="Rahul Kumar"/>
    <x v="0"/>
    <s v="United States "/>
    <s v="New York"/>
    <x v="3"/>
    <x v="0"/>
    <s v="Tables"/>
    <x v="166"/>
    <x v="221"/>
    <n v="8"/>
    <n v="0.15"/>
    <n v="18.920000000000002"/>
    <n v="12.6662"/>
    <n v="9"/>
    <n v="0.18671666831145764"/>
  </r>
  <r>
    <s v="ORD-1222 "/>
    <x v="167"/>
    <d v="2022-11-05T00:00:00"/>
    <s v="Alice Brown  "/>
    <x v="0"/>
    <s v="United States "/>
    <s v="Los Angeles"/>
    <x v="0"/>
    <x v="2"/>
    <s v="Copiers"/>
    <x v="167"/>
    <x v="222"/>
    <n v="8"/>
    <n v="0.15"/>
    <n v="72.349999999999994"/>
    <n v="94.351200000000006"/>
    <n v="10"/>
    <n v="9.5851936248857322E-2"/>
  </r>
  <r>
    <s v="ORD-1223 "/>
    <x v="0"/>
    <d v="2022-01-29T00:00:00"/>
    <s v="Sara Lee  "/>
    <x v="0"/>
    <s v="United States"/>
    <s v="New York"/>
    <x v="2"/>
    <x v="1"/>
    <s v="Paper"/>
    <x v="7"/>
    <x v="223"/>
    <n v="1"/>
    <n v="0.15"/>
    <n v="-153.52000000000001"/>
    <n v="770.41"/>
    <n v="44590"/>
    <n v="-0.19927051829545309"/>
  </r>
  <r>
    <s v="ORD-1224 "/>
    <x v="168"/>
    <d v="2022-09-08T00:00:00"/>
    <s v="Mohamed Ali "/>
    <x v="0"/>
    <s v="United States"/>
    <s v="Houston"/>
    <x v="0"/>
    <x v="2"/>
    <s v="Phones"/>
    <x v="72"/>
    <x v="224"/>
    <n v="3"/>
    <n v="0.15"/>
    <n v="-179.21"/>
    <n v="389.20670000000001"/>
    <n v="7"/>
    <n v="-0.15348315376577998"/>
  </r>
  <r>
    <s v="ORD-1225 "/>
    <x v="169"/>
    <d v="2022-04-17T00:00:00"/>
    <s v="Alice Brown"/>
    <x v="2"/>
    <s v="United States"/>
    <s v="Miami"/>
    <x v="3"/>
    <x v="0"/>
    <s v="Bookcases"/>
    <x v="168"/>
    <x v="225"/>
    <n v="2"/>
    <n v="0"/>
    <n v="82.87"/>
    <n v="493.78"/>
    <n v="9"/>
    <n v="8.3913888776378148E-2"/>
  </r>
  <r>
    <s v="ORD-1226 "/>
    <x v="0"/>
    <d v="2023-12-25T00:00:00"/>
    <s v="John Smith"/>
    <x v="1"/>
    <s v="United States "/>
    <s v="Houston"/>
    <x v="1"/>
    <x v="2"/>
    <s v="Accessories"/>
    <x v="169"/>
    <x v="226"/>
    <n v="2"/>
    <n v="0.1"/>
    <n v="-44.98"/>
    <n v="170.45500000000001"/>
    <n v="45285"/>
    <n v="-0.13194098149071601"/>
  </r>
  <r>
    <s v="ORD-1227 "/>
    <x v="170"/>
    <d v="2023-02-23T00:00:00"/>
    <s v="John Smith"/>
    <x v="1"/>
    <s v="United States"/>
    <s v="Miami"/>
    <x v="0"/>
    <x v="1"/>
    <s v="Paper"/>
    <x v="170"/>
    <x v="227"/>
    <n v="4"/>
    <n v="0.2"/>
    <n v="-53.1"/>
    <n v="289.5675"/>
    <n v="2"/>
    <n v="-4.5844233209873346E-2"/>
  </r>
  <r>
    <s v="ORD-1228 "/>
    <x v="171"/>
    <d v="2024-05-11T00:00:00"/>
    <s v="Rahul Kumar "/>
    <x v="1"/>
    <s v="United States"/>
    <s v="Houston"/>
    <x v="1"/>
    <x v="0"/>
    <s v="Chairs"/>
    <x v="23"/>
    <x v="228"/>
    <n v="6"/>
    <n v="0.2"/>
    <n v="48.74"/>
    <n v="143.19499999999999"/>
    <n v="6"/>
    <n v="5.6729168849005439E-2"/>
  </r>
  <r>
    <s v="ORD-1229 "/>
    <x v="22"/>
    <d v="2024-02-15T00:00:00"/>
    <s v="Alice Brown"/>
    <x v="2"/>
    <s v="United States"/>
    <s v="Seattle"/>
    <x v="0"/>
    <x v="0"/>
    <s v="Chairs"/>
    <x v="171"/>
    <x v="229"/>
    <n v="3"/>
    <n v="0"/>
    <n v="-109.66"/>
    <n v="188.4033"/>
    <n v="9"/>
    <n v="-0.19401638329116611"/>
  </r>
  <r>
    <s v="ORD-1230 "/>
    <x v="172"/>
    <d v="2023-08-29T00:00:00"/>
    <s v="Rahul Kumar"/>
    <x v="1"/>
    <s v="United States "/>
    <s v="New York"/>
    <x v="2"/>
    <x v="0"/>
    <s v="Chairs"/>
    <x v="172"/>
    <x v="230"/>
    <n v="4"/>
    <n v="0.2"/>
    <n v="244.89"/>
    <n v="299.16250000000002"/>
    <n v="5"/>
    <n v="0.20464630426607611"/>
  </r>
  <r>
    <s v="ORD-1231 "/>
    <x v="173"/>
    <d v="2023-03-27T00:00:00"/>
    <s v="Rahul Kumar "/>
    <x v="2"/>
    <s v="United States "/>
    <s v="New York"/>
    <x v="2"/>
    <x v="2"/>
    <s v="Phones"/>
    <x v="173"/>
    <x v="231"/>
    <n v="7"/>
    <n v="0.1"/>
    <n v="-10.86"/>
    <n v="67.374300000000005"/>
    <n v="7"/>
    <n v="-2.3027013273398074E-2"/>
  </r>
  <r>
    <s v="ORD-1232 "/>
    <x v="174"/>
    <d v="2022-11-07T00:00:00"/>
    <s v="Alice Brown  "/>
    <x v="0"/>
    <s v="United States "/>
    <s v="Seattle"/>
    <x v="0"/>
    <x v="2"/>
    <s v="Copiers"/>
    <x v="174"/>
    <x v="232"/>
    <n v="2"/>
    <n v="0.15"/>
    <n v="-4.97"/>
    <n v="292.63"/>
    <n v="8"/>
    <n v="-8.491952294706626E-3"/>
  </r>
  <r>
    <s v="ORD-1233 "/>
    <x v="175"/>
    <d v="2024-03-17T00:00:00"/>
    <s v="Rahul Kumar"/>
    <x v="1"/>
    <s v="United States"/>
    <s v="Phoenix"/>
    <x v="2"/>
    <x v="2"/>
    <s v="Copiers"/>
    <x v="175"/>
    <x v="233"/>
    <n v="6"/>
    <n v="0"/>
    <n v="48.23"/>
    <n v="157.01499999999999"/>
    <n v="6"/>
    <n v="5.1194684159687497E-2"/>
  </r>
  <r>
    <s v="ORD-1234 "/>
    <x v="176"/>
    <d v="2024-04-15T00:00:00"/>
    <s v="Alice Brown  "/>
    <x v="1"/>
    <s v="United States"/>
    <s v="Phoenix"/>
    <x v="0"/>
    <x v="0"/>
    <s v="Tables"/>
    <x v="56"/>
    <x v="234"/>
    <n v="10"/>
    <n v="0.1"/>
    <n v="185.03"/>
    <n v="64.472999999999999"/>
    <n v="5"/>
    <n v="0.2869883517131202"/>
  </r>
  <r>
    <s v="ORD-1235 "/>
    <x v="6"/>
    <d v="2022-08-23T00:00:00"/>
    <s v="Rahul Kumar  "/>
    <x v="1"/>
    <s v="United States"/>
    <s v="Phoenix"/>
    <x v="2"/>
    <x v="2"/>
    <s v="Accessories"/>
    <x v="176"/>
    <x v="235"/>
    <n v="3"/>
    <n v="0.1"/>
    <n v="-91.82"/>
    <n v="374.51330000000002"/>
    <n v="10"/>
    <n v="-8.1723837157555573E-2"/>
  </r>
  <r>
    <s v="ORD-1236 "/>
    <x v="48"/>
    <d v="2022-07-20T00:00:00"/>
    <s v="Alice Brown"/>
    <x v="0"/>
    <s v="United States "/>
    <s v="New York"/>
    <x v="3"/>
    <x v="1"/>
    <s v="Paper"/>
    <x v="177"/>
    <x v="236"/>
    <n v="1"/>
    <n v="0"/>
    <n v="-39.049999999999997"/>
    <n v="227.16"/>
    <n v="-140"/>
    <n v="-0.17190526501144568"/>
  </r>
  <r>
    <s v="ORD-1237 "/>
    <x v="0"/>
    <d v="2022-07-29T00:00:00"/>
    <s v="Alice Brown"/>
    <x v="0"/>
    <s v="United States"/>
    <s v="New York"/>
    <x v="3"/>
    <x v="2"/>
    <s v="Copiers"/>
    <x v="12"/>
    <x v="237"/>
    <n v="6"/>
    <n v="0"/>
    <n v="-43.37"/>
    <n v="38.2333"/>
    <n v="44771"/>
    <n v="-0.18905841325196163"/>
  </r>
  <r>
    <s v="ORD-1238 "/>
    <x v="177"/>
    <d v="2023-11-17T00:00:00"/>
    <s v="Sara Lee  "/>
    <x v="2"/>
    <s v="United States"/>
    <s v="Los Angeles"/>
    <x v="3"/>
    <x v="1"/>
    <s v="Binders"/>
    <x v="178"/>
    <x v="238"/>
    <n v="6"/>
    <n v="0.1"/>
    <n v="120.11"/>
    <n v="69.523300000000006"/>
    <n v="37"/>
    <n v="0.28793690367742247"/>
  </r>
  <r>
    <s v="ORD-1239 "/>
    <x v="178"/>
    <d v="2023-11-23T00:00:00"/>
    <s v="Mohamed Ali "/>
    <x v="0"/>
    <s v="United States"/>
    <s v="Los Angeles"/>
    <x v="3"/>
    <x v="0"/>
    <s v="Tables"/>
    <x v="179"/>
    <x v="239"/>
    <n v="5"/>
    <n v="0.1"/>
    <n v="-42.46"/>
    <n v="76.41"/>
    <n v="10"/>
    <n v="-0.11113728569558959"/>
  </r>
  <r>
    <s v="ORD-1240 "/>
    <x v="179"/>
    <d v="2022-08-25T00:00:00"/>
    <s v="Alice Brown  "/>
    <x v="1"/>
    <s v="United States"/>
    <s v="Houston"/>
    <x v="0"/>
    <x v="0"/>
    <s v="Tables"/>
    <x v="38"/>
    <x v="240"/>
    <n v="2"/>
    <n v="0.1"/>
    <n v="-4.95"/>
    <n v="92.98"/>
    <n v="10"/>
    <n v="-2.6618627661862765E-2"/>
  </r>
  <r>
    <s v="ORD-1241 "/>
    <x v="180"/>
    <d v="2022-08-07T00:00:00"/>
    <s v="Sara Lee"/>
    <x v="2"/>
    <s v="United States "/>
    <s v="Houston"/>
    <x v="3"/>
    <x v="1"/>
    <s v="Binders"/>
    <x v="9"/>
    <x v="241"/>
    <n v="2"/>
    <n v="0"/>
    <n v="-76.28"/>
    <n v="216.785"/>
    <n v="4"/>
    <n v="-0.17593468182761723"/>
  </r>
  <r>
    <s v="ORD-1242 "/>
    <x v="181"/>
    <d v="2023-01-22T00:00:00"/>
    <s v="Rahul Kumar"/>
    <x v="2"/>
    <s v="United States"/>
    <s v="New York"/>
    <x v="0"/>
    <x v="2"/>
    <s v="Copiers"/>
    <x v="180"/>
    <x v="242"/>
    <n v="4"/>
    <n v="0.1"/>
    <n v="20.21"/>
    <n v="197.035"/>
    <n v="2"/>
    <n v="2.5642652320653693E-2"/>
  </r>
  <r>
    <s v="ORD-1243 "/>
    <x v="0"/>
    <d v="2022-07-01T00:00:00"/>
    <s v="Sara Lee  "/>
    <x v="1"/>
    <s v="United States "/>
    <s v="Seattle"/>
    <x v="2"/>
    <x v="0"/>
    <s v="Bookcases"/>
    <x v="181"/>
    <x v="243"/>
    <n v="2"/>
    <n v="0.15"/>
    <n v="10.53"/>
    <n v="54.25"/>
    <n v="44743"/>
    <n v="9.7050691244239623E-2"/>
  </r>
  <r>
    <s v="ORD-1244 "/>
    <x v="0"/>
    <d v="2023-03-24T00:00:00"/>
    <s v="Mohamed Ali "/>
    <x v="0"/>
    <s v="United States"/>
    <s v="Chicago"/>
    <x v="2"/>
    <x v="0"/>
    <s v="Chairs"/>
    <x v="182"/>
    <x v="244"/>
    <n v="4"/>
    <n v="0.2"/>
    <n v="61.03"/>
    <n v="102.6725"/>
    <n v="45009"/>
    <n v="0.1486035696023765"/>
  </r>
  <r>
    <s v="ORD-1245 "/>
    <x v="182"/>
    <d v="2022-02-27T00:00:00"/>
    <s v="John Smith "/>
    <x v="0"/>
    <s v="United States "/>
    <s v="Los Angeles"/>
    <x v="0"/>
    <x v="1"/>
    <s v="Storage"/>
    <x v="183"/>
    <x v="245"/>
    <n v="3"/>
    <n v="0"/>
    <n v="-19.8"/>
    <n v="337.01"/>
    <n v="7"/>
    <n v="-1.9583988605679357E-2"/>
  </r>
  <r>
    <s v="ORD-1246 "/>
    <x v="122"/>
    <d v="2022-08-03T00:00:00"/>
    <s v="Sara Lee "/>
    <x v="0"/>
    <s v="United States"/>
    <s v="New York"/>
    <x v="1"/>
    <x v="1"/>
    <s v="Paper"/>
    <x v="184"/>
    <x v="246"/>
    <n v="8"/>
    <n v="0"/>
    <n v="-53.75"/>
    <n v="146.6163"/>
    <n v="3"/>
    <n v="-4.5825411576138383E-2"/>
  </r>
  <r>
    <s v="ORD-1247 "/>
    <x v="183"/>
    <d v="2023-01-22T00:00:00"/>
    <s v="Rahul Kumar  "/>
    <x v="1"/>
    <s v="United States "/>
    <s v="Miami"/>
    <x v="0"/>
    <x v="2"/>
    <s v="Phones"/>
    <x v="101"/>
    <x v="247"/>
    <n v="5"/>
    <n v="0.2"/>
    <n v="17.760000000000002"/>
    <n v="109.202"/>
    <n v="7"/>
    <n v="3.2526876797128262E-2"/>
  </r>
  <r>
    <s v="ORD-1248 "/>
    <x v="184"/>
    <d v="2023-11-22T00:00:00"/>
    <s v="Mohamed Ali "/>
    <x v="0"/>
    <s v="United States "/>
    <s v="Phoenix"/>
    <x v="2"/>
    <x v="1"/>
    <s v="Paper"/>
    <x v="112"/>
    <x v="248"/>
    <n v="10"/>
    <n v="0.1"/>
    <n v="89.51"/>
    <n v="116.54300000000001"/>
    <n v="6"/>
    <n v="7.6804269668705974E-2"/>
  </r>
  <r>
    <s v="ORD-1249 "/>
    <x v="185"/>
    <d v="2022-11-05T00:00:00"/>
    <s v="Mohamed Ali"/>
    <x v="1"/>
    <s v="United States "/>
    <s v="Los Angeles"/>
    <x v="2"/>
    <x v="2"/>
    <s v="Copiers"/>
    <x v="185"/>
    <x v="249"/>
    <n v="10"/>
    <n v="0"/>
    <n v="12.21"/>
    <n v="6.0979999999999999"/>
    <n v="239"/>
    <n v="0.20022958346999017"/>
  </r>
  <r>
    <s v="ORD-1250 "/>
    <x v="186"/>
    <d v="2024-04-11T00:00:00"/>
    <s v="Alice Brown  "/>
    <x v="2"/>
    <s v="United States"/>
    <s v="Seattle"/>
    <x v="0"/>
    <x v="0"/>
    <s v="Chairs"/>
    <x v="150"/>
    <x v="250"/>
    <n v="7"/>
    <n v="0.1"/>
    <n v="155.16"/>
    <n v="74.225700000000003"/>
    <n v="-84"/>
    <n v="0.29862581315678044"/>
  </r>
  <r>
    <s v="ORD-1251 "/>
    <x v="187"/>
    <d v="2023-02-11T00:00:00"/>
    <s v="Mohamed Ali  "/>
    <x v="0"/>
    <s v="United States "/>
    <s v="New York"/>
    <x v="1"/>
    <x v="2"/>
    <s v="Copiers"/>
    <x v="186"/>
    <x v="251"/>
    <n v="5"/>
    <n v="0"/>
    <n v="11.77"/>
    <n v="80.965999999999994"/>
    <n v="9"/>
    <n v="2.9073932267865525E-2"/>
  </r>
  <r>
    <s v="ORD-1252 "/>
    <x v="188"/>
    <d v="2022-06-11T00:00:00"/>
    <s v="Rahul Kumar  "/>
    <x v="2"/>
    <s v="United States "/>
    <s v="Chicago"/>
    <x v="1"/>
    <x v="1"/>
    <s v="Storage"/>
    <x v="187"/>
    <x v="252"/>
    <n v="2"/>
    <n v="0"/>
    <n v="74.42"/>
    <n v="457.44499999999999"/>
    <n v="10"/>
    <n v="8.1343112286723002E-2"/>
  </r>
  <r>
    <s v="ORD-1253 "/>
    <x v="0"/>
    <d v="2023-05-23T00:00:00"/>
    <s v="Sara Lee"/>
    <x v="2"/>
    <s v="United States"/>
    <s v="Seattle"/>
    <x v="2"/>
    <x v="1"/>
    <s v="Paper"/>
    <x v="188"/>
    <x v="253"/>
    <n v="5"/>
    <n v="0.2"/>
    <n v="-8.2200000000000006"/>
    <n v="12.842000000000001"/>
    <n v="45069"/>
    <n v="-0.12801744276592433"/>
  </r>
  <r>
    <s v="ORD-1254 "/>
    <x v="47"/>
    <d v="2024-02-11T00:00:00"/>
    <s v="John Smith"/>
    <x v="1"/>
    <s v="United States"/>
    <s v="Seattle"/>
    <x v="1"/>
    <x v="2"/>
    <s v="Accessories"/>
    <x v="189"/>
    <x v="254"/>
    <n v="5"/>
    <n v="0.15"/>
    <n v="-2.62"/>
    <n v="8.7739999999999991"/>
    <n v="8"/>
    <n v="-5.9721905630271264E-2"/>
  </r>
  <r>
    <s v="ORD-1255 "/>
    <x v="189"/>
    <d v="2024-05-01T00:00:00"/>
    <s v="Sara Lee  "/>
    <x v="2"/>
    <s v="United States"/>
    <s v="Phoenix"/>
    <x v="2"/>
    <x v="2"/>
    <s v="Copiers"/>
    <x v="190"/>
    <x v="255"/>
    <n v="2"/>
    <n v="0.1"/>
    <n v="10.68"/>
    <n v="255.89500000000001"/>
    <n v="6"/>
    <n v="2.0867934113601279E-2"/>
  </r>
  <r>
    <s v="ORD-1256 "/>
    <x v="190"/>
    <d v="2022-11-24T00:00:00"/>
    <s v="Alice Brown"/>
    <x v="1"/>
    <s v="United States"/>
    <s v="Houston"/>
    <x v="0"/>
    <x v="2"/>
    <s v="Phones"/>
    <x v="191"/>
    <x v="256"/>
    <n v="9"/>
    <n v="0"/>
    <n v="-174.58"/>
    <n v="104.55670000000001"/>
    <n v="9"/>
    <n v="-0.18552406456892065"/>
  </r>
  <r>
    <s v="ORD-1257 "/>
    <x v="191"/>
    <d v="2023-12-27T00:00:00"/>
    <s v="John Smith"/>
    <x v="2"/>
    <s v="United States "/>
    <s v="Phoenix"/>
    <x v="1"/>
    <x v="2"/>
    <s v="Accessories"/>
    <x v="85"/>
    <x v="257"/>
    <n v="9"/>
    <n v="0.2"/>
    <n v="116.73"/>
    <n v="110.19329999999999"/>
    <n v="4"/>
    <n v="0.11770222034000848"/>
  </r>
  <r>
    <s v="ORD-1258 "/>
    <x v="192"/>
    <d v="2024-06-18T00:00:00"/>
    <s v="John Smith "/>
    <x v="1"/>
    <s v="United States "/>
    <s v="New York"/>
    <x v="2"/>
    <x v="1"/>
    <s v="Storage"/>
    <x v="192"/>
    <x v="258"/>
    <n v="3"/>
    <n v="0.15"/>
    <n v="75.5"/>
    <n v="144.24"/>
    <n v="-110"/>
    <n v="0.17447772231466074"/>
  </r>
  <r>
    <s v="ORD-1259 "/>
    <x v="193"/>
    <d v="2024-03-13T00:00:00"/>
    <s v="John Smith  "/>
    <x v="1"/>
    <s v="United States "/>
    <s v="Los Angeles"/>
    <x v="2"/>
    <x v="0"/>
    <s v="Bookcases"/>
    <x v="181"/>
    <x v="259"/>
    <n v="4"/>
    <n v="0.15"/>
    <n v="35.93"/>
    <n v="71.407499999999999"/>
    <n v="-174"/>
    <n v="0.12579210867205826"/>
  </r>
  <r>
    <s v="ORD-1260 "/>
    <x v="194"/>
    <d v="2024-04-01T00:00:00"/>
    <s v="Rahul Kumar "/>
    <x v="2"/>
    <s v="United States "/>
    <s v="Houston"/>
    <x v="3"/>
    <x v="0"/>
    <s v="Tables"/>
    <x v="40"/>
    <x v="260"/>
    <n v="5"/>
    <n v="0.15"/>
    <n v="8.7799999999999994"/>
    <n v="147.57"/>
    <n v="1"/>
    <n v="1.1899437555058614E-2"/>
  </r>
  <r>
    <s v="ORD-1261 "/>
    <x v="0"/>
    <d v="2023-06-28T00:00:00"/>
    <s v="Mohamed Ali "/>
    <x v="2"/>
    <s v="United States"/>
    <s v="Houston"/>
    <x v="0"/>
    <x v="2"/>
    <s v="Copiers"/>
    <x v="180"/>
    <x v="261"/>
    <n v="9"/>
    <n v="0.15"/>
    <n v="11.36"/>
    <n v="15.636699999999999"/>
    <n v="45105"/>
    <n v="8.0721949833013576E-2"/>
  </r>
  <r>
    <s v="ORD-1262 "/>
    <x v="195"/>
    <d v="2022-10-17T00:00:00"/>
    <s v="John Smith  "/>
    <x v="2"/>
    <s v="United States"/>
    <s v="Seattle"/>
    <x v="2"/>
    <x v="2"/>
    <s v="Accessories"/>
    <x v="108"/>
    <x v="262"/>
    <n v="5"/>
    <n v="0.1"/>
    <n v="-99.31"/>
    <n v="158.84399999999999"/>
    <n v="6"/>
    <n v="-0.1250409206517086"/>
  </r>
  <r>
    <s v="ORD-1263 "/>
    <x v="0"/>
    <d v="2022-02-04T00:00:00"/>
    <s v="Mohamed Ali"/>
    <x v="2"/>
    <s v="United States "/>
    <s v="Seattle"/>
    <x v="1"/>
    <x v="2"/>
    <s v="Accessories"/>
    <x v="90"/>
    <x v="263"/>
    <n v="7"/>
    <n v="0.2"/>
    <n v="183.55"/>
    <n v="155.7371"/>
    <n v="44596"/>
    <n v="0.16836978058266677"/>
  </r>
  <r>
    <s v="ORD-1264 "/>
    <x v="196"/>
    <d v="2023-01-12T00:00:00"/>
    <s v="Alice Brown  "/>
    <x v="2"/>
    <s v="United States "/>
    <s v="Seattle"/>
    <x v="3"/>
    <x v="2"/>
    <s v="Phones"/>
    <x v="173"/>
    <x v="264"/>
    <n v="9"/>
    <n v="0.1"/>
    <n v="-53.74"/>
    <n v="112.4389"/>
    <n v="9"/>
    <n v="-5.3105390582538665E-2"/>
  </r>
  <r>
    <s v="ORD-1265 "/>
    <x v="197"/>
    <d v="2022-04-06T00:00:00"/>
    <s v="Rahul Kumar "/>
    <x v="0"/>
    <s v="United States"/>
    <s v="Houston"/>
    <x v="0"/>
    <x v="2"/>
    <s v="Phones"/>
    <x v="193"/>
    <x v="265"/>
    <n v="5"/>
    <n v="0.2"/>
    <n v="174.29"/>
    <n v="179.63399999999999"/>
    <n v="4"/>
    <n v="0.19405012414130954"/>
  </r>
  <r>
    <s v="ORD-1266 "/>
    <x v="0"/>
    <d v="2022-03-06T00:00:00"/>
    <s v="Sara Lee  "/>
    <x v="2"/>
    <s v="United States "/>
    <s v="New York"/>
    <x v="2"/>
    <x v="1"/>
    <s v="Storage"/>
    <x v="194"/>
    <x v="266"/>
    <n v="4"/>
    <n v="0"/>
    <n v="-14.57"/>
    <n v="26.0075"/>
    <n v="44626"/>
    <n v="-0.14005575314813035"/>
  </r>
  <r>
    <s v="ORD-1267 "/>
    <x v="0"/>
    <d v="2022-07-31T00:00:00"/>
    <s v="Alice Brown"/>
    <x v="2"/>
    <s v="United States"/>
    <s v="Seattle"/>
    <x v="2"/>
    <x v="2"/>
    <s v="Copiers"/>
    <x v="195"/>
    <x v="267"/>
    <n v="8"/>
    <n v="0.1"/>
    <n v="-44.88"/>
    <n v="134.19499999999999"/>
    <n v="44773"/>
    <n v="-4.180483624576177E-2"/>
  </r>
  <r>
    <s v="ORD-1268 "/>
    <x v="198"/>
    <d v="2023-10-13T00:00:00"/>
    <s v="John Smith"/>
    <x v="0"/>
    <s v="United States "/>
    <s v="Seattle"/>
    <x v="1"/>
    <x v="0"/>
    <s v="Tables"/>
    <x v="196"/>
    <x v="268"/>
    <n v="3"/>
    <n v="0"/>
    <n v="62.47"/>
    <n v="114.2533"/>
    <n v="1"/>
    <n v="0.18225580581164663"/>
  </r>
  <r>
    <s v="ORD-1269 "/>
    <x v="199"/>
    <d v="2023-03-24T00:00:00"/>
    <s v="Mohamed Ali"/>
    <x v="1"/>
    <s v="United States"/>
    <s v="Seattle"/>
    <x v="2"/>
    <x v="2"/>
    <s v="Phones"/>
    <x v="197"/>
    <x v="269"/>
    <n v="4"/>
    <n v="0.15"/>
    <n v="17.75"/>
    <n v="16.13"/>
    <n v="8"/>
    <n v="0.27510849349039057"/>
  </r>
  <r>
    <s v="ORD-1270 "/>
    <x v="200"/>
    <d v="2023-12-18T00:00:00"/>
    <s v="John Smith "/>
    <x v="2"/>
    <s v="United States "/>
    <s v="Seattle"/>
    <x v="3"/>
    <x v="2"/>
    <s v="Phones"/>
    <x v="198"/>
    <x v="270"/>
    <n v="9"/>
    <n v="0"/>
    <n v="-6.63"/>
    <n v="15.6889"/>
    <n v="6"/>
    <n v="-4.6954674220963173E-2"/>
  </r>
  <r>
    <s v="ORD-1271 "/>
    <x v="201"/>
    <d v="2023-12-08T00:00:00"/>
    <s v="John Smith"/>
    <x v="1"/>
    <s v="United States "/>
    <s v="Los Angeles"/>
    <x v="0"/>
    <x v="2"/>
    <s v="Accessories"/>
    <x v="199"/>
    <x v="271"/>
    <n v="4"/>
    <n v="0.1"/>
    <n v="121.65"/>
    <n v="110.98"/>
    <n v="3"/>
    <n v="0.27403586231753468"/>
  </r>
  <r>
    <s v="ORD-1272 "/>
    <x v="63"/>
    <d v="2023-06-04T00:00:00"/>
    <s v="Mohamed Ali  "/>
    <x v="1"/>
    <s v="United States"/>
    <s v="Seattle"/>
    <x v="0"/>
    <x v="0"/>
    <s v="Tables"/>
    <x v="200"/>
    <x v="272"/>
    <n v="1"/>
    <n v="0.2"/>
    <n v="204.7"/>
    <n v="859.11"/>
    <n v="3"/>
    <n v="0.23826983738985694"/>
  </r>
  <r>
    <s v="ORD-1273 "/>
    <x v="41"/>
    <d v="2024-05-07T00:00:00"/>
    <s v="Sara Lee  "/>
    <x v="1"/>
    <s v="United States "/>
    <s v="Seattle"/>
    <x v="0"/>
    <x v="0"/>
    <s v="Bookcases"/>
    <x v="92"/>
    <x v="273"/>
    <n v="8"/>
    <n v="0.2"/>
    <n v="-21.65"/>
    <n v="19.578700000000001"/>
    <n v="1"/>
    <n v="-0.13822383962203919"/>
  </r>
  <r>
    <s v="ORD-1274 "/>
    <x v="202"/>
    <d v="2023-03-09T00:00:00"/>
    <s v="Mohamed Ali  "/>
    <x v="0"/>
    <s v="United States"/>
    <s v="Chicago"/>
    <x v="0"/>
    <x v="1"/>
    <s v="Storage"/>
    <x v="201"/>
    <x v="274"/>
    <n v="10"/>
    <n v="0.1"/>
    <n v="3.19"/>
    <n v="33.856999999999999"/>
    <n v="2"/>
    <n v="9.4219806834628002E-3"/>
  </r>
  <r>
    <s v="ORD-1275 "/>
    <x v="203"/>
    <d v="2023-05-29T00:00:00"/>
    <s v="Rahul Kumar"/>
    <x v="1"/>
    <s v="United States "/>
    <s v="Los Angeles"/>
    <x v="1"/>
    <x v="1"/>
    <s v="Binders"/>
    <x v="202"/>
    <x v="275"/>
    <n v="9"/>
    <n v="0.1"/>
    <n v="-19.73"/>
    <n v="104.22110000000001"/>
    <n v="4"/>
    <n v="-2.1034339385281292E-2"/>
  </r>
  <r>
    <s v="ORD-1276 "/>
    <x v="204"/>
    <d v="2022-08-30T00:00:00"/>
    <s v="John Smith  "/>
    <x v="1"/>
    <s v="United States"/>
    <s v="Chicago"/>
    <x v="2"/>
    <x v="0"/>
    <s v="Bookcases"/>
    <x v="25"/>
    <x v="276"/>
    <n v="2"/>
    <n v="0"/>
    <n v="16.82"/>
    <n v="62.51"/>
    <n v="1"/>
    <n v="0.13453847384418494"/>
  </r>
  <r>
    <s v="ORD-1277 "/>
    <x v="205"/>
    <d v="2022-11-05T00:00:00"/>
    <s v="Rahul Kumar "/>
    <x v="0"/>
    <s v="United States"/>
    <s v="New York"/>
    <x v="0"/>
    <x v="2"/>
    <s v="Phones"/>
    <x v="96"/>
    <x v="277"/>
    <n v="3"/>
    <n v="0"/>
    <n v="31.15"/>
    <n v="45.923299999999998"/>
    <n v="5"/>
    <n v="0.22610147347027651"/>
  </r>
  <r>
    <s v="ORD-1278 "/>
    <x v="51"/>
    <d v="2024-05-25T00:00:00"/>
    <s v="John Smith "/>
    <x v="2"/>
    <s v="United States "/>
    <s v="New York"/>
    <x v="1"/>
    <x v="1"/>
    <s v="Storage"/>
    <x v="203"/>
    <x v="278"/>
    <n v="6"/>
    <n v="0.2"/>
    <n v="61.39"/>
    <n v="36.866700000000002"/>
    <n v="3"/>
    <n v="0.27753164556962029"/>
  </r>
  <r>
    <s v="ORD-1279 "/>
    <x v="0"/>
    <d v="2023-04-18T00:00:00"/>
    <s v="John Smith"/>
    <x v="1"/>
    <s v="United States "/>
    <s v="Phoenix"/>
    <x v="1"/>
    <x v="2"/>
    <s v="Copiers"/>
    <x v="111"/>
    <x v="279"/>
    <n v="7"/>
    <n v="0.1"/>
    <n v="-146.88"/>
    <n v="146.25569999999999"/>
    <n v="45034"/>
    <n v="-0.14346692192734839"/>
  </r>
  <r>
    <s v="ORD-1280 "/>
    <x v="0"/>
    <d v="2023-12-04T00:00:00"/>
    <s v="Alice Brown "/>
    <x v="2"/>
    <s v="United States"/>
    <s v="Houston"/>
    <x v="1"/>
    <x v="0"/>
    <s v="Bookcases"/>
    <x v="97"/>
    <x v="280"/>
    <n v="6"/>
    <n v="0"/>
    <n v="-86.88"/>
    <n v="78.018299999999996"/>
    <n v="45264"/>
    <n v="-0.18559740231996752"/>
  </r>
  <r>
    <s v="ORD-1281 "/>
    <x v="58"/>
    <d v="2022-03-11T00:00:00"/>
    <s v="Rahul Kumar  "/>
    <x v="0"/>
    <s v="United States"/>
    <s v="Houston"/>
    <x v="2"/>
    <x v="1"/>
    <s v="Paper"/>
    <x v="112"/>
    <x v="281"/>
    <n v="9"/>
    <n v="0"/>
    <n v="5.6"/>
    <n v="3.8433000000000002"/>
    <n v="5"/>
    <n v="0.1618965018791558"/>
  </r>
  <r>
    <s v="ORD-1282 "/>
    <x v="206"/>
    <d v="2022-12-28T00:00:00"/>
    <s v="Mohamed Ali "/>
    <x v="2"/>
    <s v="United States "/>
    <s v="New York"/>
    <x v="1"/>
    <x v="0"/>
    <s v="Bookcases"/>
    <x v="121"/>
    <x v="282"/>
    <n v="10"/>
    <n v="0"/>
    <n v="-208.28"/>
    <n v="107.26300000000001"/>
    <n v="7"/>
    <n v="-0.19417692960293856"/>
  </r>
  <r>
    <s v="ORD-1283 "/>
    <x v="207"/>
    <d v="2022-09-10T00:00:00"/>
    <s v="John Smith "/>
    <x v="2"/>
    <s v="United States "/>
    <s v="New York"/>
    <x v="1"/>
    <x v="2"/>
    <s v="Phones"/>
    <x v="147"/>
    <x v="283"/>
    <n v="9"/>
    <n v="0.2"/>
    <n v="1.01"/>
    <n v="68.686700000000002"/>
    <n v="6"/>
    <n v="1.6338283347892201E-3"/>
  </r>
  <r>
    <s v="ORD-1284 "/>
    <x v="0"/>
    <d v="2022-11-22T00:00:00"/>
    <s v="Mohamed Ali"/>
    <x v="1"/>
    <s v="United States"/>
    <s v="Phoenix"/>
    <x v="2"/>
    <x v="2"/>
    <s v="Copiers"/>
    <x v="52"/>
    <x v="284"/>
    <n v="2"/>
    <n v="0.2"/>
    <n v="4.88"/>
    <n v="395.49"/>
    <n v="44887"/>
    <n v="6.1695618094009964E-3"/>
  </r>
  <r>
    <s v="ORD-1285 "/>
    <x v="0"/>
    <d v="2023-11-27T00:00:00"/>
    <s v="Mohamed Ali "/>
    <x v="0"/>
    <s v="United States"/>
    <s v="Seattle"/>
    <x v="1"/>
    <x v="2"/>
    <s v="Accessories"/>
    <x v="204"/>
    <x v="285"/>
    <n v="4"/>
    <n v="0.2"/>
    <n v="-33.81"/>
    <n v="248.4675"/>
    <n v="45257"/>
    <n v="-3.4018533611035649E-2"/>
  </r>
  <r>
    <s v="ORD-1286 "/>
    <x v="208"/>
    <d v="2022-04-14T00:00:00"/>
    <s v="John Smith"/>
    <x v="1"/>
    <s v="United States "/>
    <s v="Los Angeles"/>
    <x v="1"/>
    <x v="0"/>
    <s v="Tables"/>
    <x v="205"/>
    <x v="286"/>
    <n v="5"/>
    <n v="0"/>
    <n v="26.78"/>
    <n v="87.811999999999998"/>
    <n v="-173"/>
    <n v="6.0993941602514465E-2"/>
  </r>
  <r>
    <s v="ORD-1287 "/>
    <x v="53"/>
    <d v="2022-09-28T00:00:00"/>
    <s v="Rahul Kumar"/>
    <x v="2"/>
    <s v="United States"/>
    <s v="Seattle"/>
    <x v="0"/>
    <x v="0"/>
    <s v="Chairs"/>
    <x v="206"/>
    <x v="287"/>
    <n v="7"/>
    <n v="0.1"/>
    <n v="4.63"/>
    <n v="23.211400000000001"/>
    <n v="10"/>
    <n v="2.8495814869522403E-2"/>
  </r>
  <r>
    <s v="ORD-1288 "/>
    <x v="209"/>
    <d v="2023-04-15T00:00:00"/>
    <s v="John Smith  "/>
    <x v="2"/>
    <s v="United States "/>
    <s v="Phoenix"/>
    <x v="2"/>
    <x v="1"/>
    <s v="Storage"/>
    <x v="207"/>
    <x v="288"/>
    <n v="3"/>
    <n v="0.2"/>
    <n v="-227.17"/>
    <n v="382.76670000000001"/>
    <n v="-80"/>
    <n v="-0.1978315771139946"/>
  </r>
  <r>
    <s v="ORD-1289 "/>
    <x v="0"/>
    <d v="2023-08-19T00:00:00"/>
    <s v="Sara Lee "/>
    <x v="0"/>
    <s v="United States "/>
    <s v="Chicago"/>
    <x v="1"/>
    <x v="1"/>
    <s v="Binders"/>
    <x v="202"/>
    <x v="289"/>
    <n v="10"/>
    <n v="0"/>
    <n v="34.32"/>
    <n v="14.218999999999999"/>
    <n v="45157"/>
    <n v="0.24136718475279556"/>
  </r>
  <r>
    <s v="ORD-1290 "/>
    <x v="0"/>
    <d v="2022-11-06T00:00:00"/>
    <s v="Rahul Kumar  "/>
    <x v="0"/>
    <s v="United States "/>
    <s v="Los Angeles"/>
    <x v="2"/>
    <x v="0"/>
    <s v="Chairs"/>
    <x v="208"/>
    <x v="290"/>
    <n v="9"/>
    <n v="0.15"/>
    <n v="112.33"/>
    <n v="56.337800000000001"/>
    <n v="44871"/>
    <n v="0.22154070684758598"/>
  </r>
  <r>
    <s v="ORD-1291 "/>
    <x v="25"/>
    <d v="2024-01-07T00:00:00"/>
    <s v="Rahul Kumar  "/>
    <x v="1"/>
    <s v="United States"/>
    <s v="Phoenix"/>
    <x v="1"/>
    <x v="1"/>
    <s v="Paper"/>
    <x v="144"/>
    <x v="291"/>
    <n v="3"/>
    <n v="0.1"/>
    <n v="57.51"/>
    <n v="369.00330000000002"/>
    <n v="-25"/>
    <n v="5.1950750219058546E-2"/>
  </r>
  <r>
    <s v="ORD-1292 "/>
    <x v="210"/>
    <d v="2023-08-15T00:00:00"/>
    <s v="John Smith  "/>
    <x v="1"/>
    <s v="United States"/>
    <s v="Houston"/>
    <x v="2"/>
    <x v="1"/>
    <s v="Storage"/>
    <x v="47"/>
    <x v="292"/>
    <n v="9"/>
    <n v="0.15"/>
    <n v="256.58999999999997"/>
    <n v="119.4178"/>
    <n v="7"/>
    <n v="0.23874167255945511"/>
  </r>
  <r>
    <s v="ORD-1293 "/>
    <x v="149"/>
    <d v="2023-11-19T00:00:00"/>
    <s v="John Smith  "/>
    <x v="2"/>
    <s v="United States "/>
    <s v="Miami"/>
    <x v="0"/>
    <x v="0"/>
    <s v="Tables"/>
    <x v="117"/>
    <x v="293"/>
    <n v="3"/>
    <n v="0.15"/>
    <n v="128.27000000000001"/>
    <n v="301.74"/>
    <n v="1"/>
    <n v="0.14170036013344822"/>
  </r>
  <r>
    <s v="ORD-1294 "/>
    <x v="0"/>
    <d v="2024-04-21T00:00:00"/>
    <s v="Sara Lee"/>
    <x v="0"/>
    <s v="United States"/>
    <s v="Seattle"/>
    <x v="0"/>
    <x v="0"/>
    <s v="Bookcases"/>
    <x v="27"/>
    <x v="294"/>
    <n v="9"/>
    <n v="0.1"/>
    <n v="178.79"/>
    <n v="116.0311"/>
    <n v="45403"/>
    <n v="0.17120887118397365"/>
  </r>
  <r>
    <s v="ORD-1295 "/>
    <x v="211"/>
    <d v="2023-02-08T00:00:00"/>
    <s v="Mohamed Ali "/>
    <x v="1"/>
    <s v="United States"/>
    <s v="Miami"/>
    <x v="2"/>
    <x v="1"/>
    <s v="Paper"/>
    <x v="209"/>
    <x v="295"/>
    <n v="1"/>
    <n v="0"/>
    <n v="199.27"/>
    <n v="1159.68"/>
    <n v="7"/>
    <n v="0.17183188465783664"/>
  </r>
  <r>
    <s v="ORD-1296 "/>
    <x v="0"/>
    <d v="2024-01-17T00:00:00"/>
    <s v="Mohamed Ali"/>
    <x v="2"/>
    <s v="United States"/>
    <s v="Houston"/>
    <x v="3"/>
    <x v="2"/>
    <s v="Accessories"/>
    <x v="210"/>
    <x v="296"/>
    <n v="2"/>
    <n v="0.1"/>
    <n v="64.5"/>
    <n v="114.68"/>
    <n v="45308"/>
    <n v="0.28121730031391695"/>
  </r>
  <r>
    <s v="ORD-1297 "/>
    <x v="212"/>
    <d v="2022-10-01T00:00:00"/>
    <s v="John Smith"/>
    <x v="2"/>
    <s v="United States"/>
    <s v="Miami"/>
    <x v="3"/>
    <x v="0"/>
    <s v="Bookcases"/>
    <x v="211"/>
    <x v="297"/>
    <n v="1"/>
    <n v="0.15"/>
    <n v="33.770000000000003"/>
    <n v="1018.3"/>
    <n v="3"/>
    <n v="3.3163114995580875E-2"/>
  </r>
  <r>
    <s v="ORD-1298 "/>
    <x v="213"/>
    <d v="2024-03-29T00:00:00"/>
    <s v="Mohamed Ali"/>
    <x v="0"/>
    <s v="United States "/>
    <s v="Houston"/>
    <x v="1"/>
    <x v="1"/>
    <s v="Paper"/>
    <x v="83"/>
    <x v="298"/>
    <n v="6"/>
    <n v="0"/>
    <n v="-9.5399999999999991"/>
    <n v="17.666699999999999"/>
    <n v="10"/>
    <n v="-0.09"/>
  </r>
  <r>
    <s v="ORD-1299 "/>
    <x v="0"/>
    <d v="2022-12-28T00:00:00"/>
    <s v="Mohamed Ali "/>
    <x v="0"/>
    <s v="United States"/>
    <s v="New York"/>
    <x v="3"/>
    <x v="0"/>
    <s v="Bookcases"/>
    <x v="212"/>
    <x v="299"/>
    <n v="6"/>
    <n v="0.15"/>
    <n v="-37.369999999999997"/>
    <n v="68.603300000000004"/>
    <n v="44923"/>
    <n v="-9.0787619649190993E-2"/>
  </r>
  <r>
    <s v="ORD-1300 "/>
    <x v="207"/>
    <d v="2022-09-14T00:00:00"/>
    <s v="Sara Lee "/>
    <x v="0"/>
    <s v="United States"/>
    <s v="New York"/>
    <x v="3"/>
    <x v="1"/>
    <s v="Binders"/>
    <x v="59"/>
    <x v="300"/>
    <n v="6"/>
    <n v="0.2"/>
    <n v="297.05"/>
    <n v="191.91669999999999"/>
    <n v="10"/>
    <n v="0.25796786799826316"/>
  </r>
  <r>
    <s v="ORD-1301 "/>
    <x v="214"/>
    <d v="2024-04-11T00:00:00"/>
    <s v="Alice Brown  "/>
    <x v="0"/>
    <s v="United States"/>
    <s v="Seattle"/>
    <x v="0"/>
    <x v="2"/>
    <s v="Accessories"/>
    <x v="213"/>
    <x v="301"/>
    <n v="4"/>
    <n v="0.15"/>
    <n v="4.09"/>
    <n v="17.934999999999999"/>
    <n v="9"/>
    <n v="5.701143016448286E-2"/>
  </r>
  <r>
    <s v="ORD-1302 "/>
    <x v="0"/>
    <d v="2023-11-22T00:00:00"/>
    <s v="Sara Lee  "/>
    <x v="1"/>
    <s v="United States "/>
    <s v="New York"/>
    <x v="1"/>
    <x v="1"/>
    <s v="Paper"/>
    <x v="214"/>
    <x v="302"/>
    <n v="4"/>
    <n v="0"/>
    <n v="215.68"/>
    <n v="251.52"/>
    <n v="45252"/>
    <n v="0.21437659033078879"/>
  </r>
  <r>
    <s v="ORD-1303 "/>
    <x v="215"/>
    <d v="2022-12-07T00:00:00"/>
    <s v="Rahul Kumar "/>
    <x v="2"/>
    <s v="United States "/>
    <s v="Seattle"/>
    <x v="1"/>
    <x v="0"/>
    <s v="Chairs"/>
    <x v="215"/>
    <x v="303"/>
    <n v="5"/>
    <n v="0"/>
    <n v="-13.85"/>
    <n v="16.808"/>
    <n v="1"/>
    <n v="-0.16480247501189907"/>
  </r>
  <r>
    <s v="ORD-1304 "/>
    <x v="0"/>
    <d v="2022-11-21T00:00:00"/>
    <s v="Mohamed Ali"/>
    <x v="0"/>
    <s v="United States"/>
    <s v="Chicago"/>
    <x v="0"/>
    <x v="2"/>
    <s v="Copiers"/>
    <x v="88"/>
    <x v="304"/>
    <n v="1"/>
    <n v="0"/>
    <n v="-26.87"/>
    <n v="159.6"/>
    <n v="44886"/>
    <n v="-0.16835839598997496"/>
  </r>
  <r>
    <s v="ORD-1305 "/>
    <x v="0"/>
    <d v="2024-03-21T00:00:00"/>
    <s v="John Smith "/>
    <x v="1"/>
    <s v="United States "/>
    <s v="Los Angeles"/>
    <x v="1"/>
    <x v="1"/>
    <s v="Binders"/>
    <x v="9"/>
    <x v="305"/>
    <n v="8"/>
    <n v="0.2"/>
    <n v="-0.86"/>
    <n v="44.023699999999998"/>
    <n v="45372"/>
    <n v="-2.4418637667168288E-3"/>
  </r>
  <r>
    <s v="ORD-1306 "/>
    <x v="0"/>
    <d v="2022-11-02T00:00:00"/>
    <s v="Alice Brown"/>
    <x v="1"/>
    <s v="United States"/>
    <s v="Phoenix"/>
    <x v="1"/>
    <x v="2"/>
    <s v="Copiers"/>
    <x v="4"/>
    <x v="306"/>
    <n v="6"/>
    <n v="0"/>
    <n v="81.88"/>
    <n v="177.77170000000001"/>
    <n v="44867"/>
    <n v="7.6765138801646288E-2"/>
  </r>
  <r>
    <s v="ORD-1307 "/>
    <x v="0"/>
    <d v="2023-07-17T00:00:00"/>
    <s v="Mohamed Ali"/>
    <x v="1"/>
    <s v="United States "/>
    <s v="Los Angeles"/>
    <x v="3"/>
    <x v="2"/>
    <s v="Phones"/>
    <x v="57"/>
    <x v="307"/>
    <n v="6"/>
    <n v="0.1"/>
    <n v="5.71"/>
    <n v="150.4983"/>
    <n v="45124"/>
    <n v="6.3234365829078947E-3"/>
  </r>
  <r>
    <s v="ORD-1308 "/>
    <x v="216"/>
    <d v="2022-05-01T00:00:00"/>
    <s v="Rahul Kumar  "/>
    <x v="1"/>
    <s v="United States"/>
    <s v="New York"/>
    <x v="2"/>
    <x v="1"/>
    <s v="Storage"/>
    <x v="216"/>
    <x v="308"/>
    <n v="9"/>
    <n v="0.2"/>
    <n v="125.48"/>
    <n v="113.9622"/>
    <n v="3"/>
    <n v="0.12234073669637111"/>
  </r>
  <r>
    <s v="ORD-1309 "/>
    <x v="217"/>
    <d v="2023-08-26T00:00:00"/>
    <s v="Alice Brown "/>
    <x v="2"/>
    <s v="United States "/>
    <s v="Chicago"/>
    <x v="3"/>
    <x v="2"/>
    <s v="Accessories"/>
    <x v="217"/>
    <x v="309"/>
    <n v="4"/>
    <n v="0"/>
    <n v="-9.84"/>
    <n v="42.822499999999998"/>
    <n v="8"/>
    <n v="-5.7446435868994103E-2"/>
  </r>
  <r>
    <s v="ORD-1310 "/>
    <x v="218"/>
    <d v="2023-08-25T00:00:00"/>
    <s v="Alice Brown"/>
    <x v="0"/>
    <s v="United States "/>
    <s v="Chicago"/>
    <x v="3"/>
    <x v="1"/>
    <s v="Storage"/>
    <x v="194"/>
    <x v="310"/>
    <n v="6"/>
    <n v="0.2"/>
    <n v="-52.07"/>
    <n v="75.0167"/>
    <n v="3"/>
    <n v="-0.11568540324372362"/>
  </r>
  <r>
    <s v="ORD-1311 "/>
    <x v="219"/>
    <d v="2023-12-03T00:00:00"/>
    <s v="Mohamed Ali"/>
    <x v="2"/>
    <s v="United States "/>
    <s v="Phoenix"/>
    <x v="2"/>
    <x v="2"/>
    <s v="Accessories"/>
    <x v="218"/>
    <x v="311"/>
    <n v="5"/>
    <n v="0.2"/>
    <n v="41.37"/>
    <n v="109.104"/>
    <n v="6"/>
    <n v="7.5835899692036954E-2"/>
  </r>
  <r>
    <s v="ORD-1312 "/>
    <x v="0"/>
    <d v="2024-01-24T00:00:00"/>
    <s v="Sara Lee  "/>
    <x v="1"/>
    <s v="United States"/>
    <s v="Phoenix"/>
    <x v="3"/>
    <x v="1"/>
    <s v="Binders"/>
    <x v="9"/>
    <x v="312"/>
    <n v="9"/>
    <n v="0"/>
    <n v="221.32"/>
    <n v="119.1867"/>
    <n v="45315"/>
    <n v="0.20632434649662526"/>
  </r>
  <r>
    <s v="ORD-1313 "/>
    <x v="220"/>
    <d v="2023-07-15T00:00:00"/>
    <s v="Alice Brown "/>
    <x v="0"/>
    <s v="United States"/>
    <s v="Houston"/>
    <x v="3"/>
    <x v="1"/>
    <s v="Binders"/>
    <x v="59"/>
    <x v="313"/>
    <n v="4"/>
    <n v="0"/>
    <n v="75.25"/>
    <n v="112.9175"/>
    <n v="8"/>
    <n v="0.16660393650231364"/>
  </r>
  <r>
    <s v="ORD-1314 "/>
    <x v="221"/>
    <d v="2022-01-15T00:00:00"/>
    <s v="Mohamed Ali  "/>
    <x v="0"/>
    <s v="United States "/>
    <s v="Seattle"/>
    <x v="1"/>
    <x v="1"/>
    <s v="Storage"/>
    <x v="159"/>
    <x v="314"/>
    <n v="9"/>
    <n v="0.1"/>
    <n v="4.9800000000000004"/>
    <n v="23.966699999999999"/>
    <n v="4"/>
    <n v="2.3087621696801116E-2"/>
  </r>
  <r>
    <s v="ORD-1315 "/>
    <x v="222"/>
    <d v="2022-02-15T00:00:00"/>
    <s v="Mohamed Ali "/>
    <x v="2"/>
    <s v="United States "/>
    <s v="Houston"/>
    <x v="0"/>
    <x v="2"/>
    <s v="Phones"/>
    <x v="219"/>
    <x v="315"/>
    <n v="6"/>
    <n v="0.1"/>
    <n v="-16.82"/>
    <n v="15.6967"/>
    <n v="4"/>
    <n v="-0.17859418135485239"/>
  </r>
  <r>
    <s v="ORD-1316 "/>
    <x v="0"/>
    <d v="2023-11-02T00:00:00"/>
    <s v="Alice Brown "/>
    <x v="0"/>
    <s v="United States "/>
    <s v="Chicago"/>
    <x v="0"/>
    <x v="0"/>
    <s v="Bookcases"/>
    <x v="220"/>
    <x v="316"/>
    <n v="5"/>
    <n v="0.15"/>
    <n v="103.85"/>
    <n v="232.55199999999999"/>
    <n v="45232"/>
    <n v="8.9313357872647839E-2"/>
  </r>
  <r>
    <s v="ORD-1317 "/>
    <x v="0"/>
    <d v="2022-09-22T00:00:00"/>
    <s v="John Smith  "/>
    <x v="1"/>
    <s v="United States "/>
    <s v="Los Angeles"/>
    <x v="2"/>
    <x v="0"/>
    <s v="Bookcases"/>
    <x v="10"/>
    <x v="317"/>
    <n v="6"/>
    <n v="0.2"/>
    <n v="97.95"/>
    <n v="83.148300000000006"/>
    <n v="44826"/>
    <n v="0.19633586562168015"/>
  </r>
  <r>
    <s v="ORD-1318 "/>
    <x v="223"/>
    <d v="2023-06-16T00:00:00"/>
    <s v="Alice Brown "/>
    <x v="2"/>
    <s v="United States"/>
    <s v="Houston"/>
    <x v="1"/>
    <x v="0"/>
    <s v="Chairs"/>
    <x v="221"/>
    <x v="318"/>
    <n v="6"/>
    <n v="0"/>
    <n v="38.159999999999997"/>
    <n v="40.091700000000003"/>
    <n v="5"/>
    <n v="0.15863645811681562"/>
  </r>
  <r>
    <s v="ORD-1319 "/>
    <x v="169"/>
    <d v="2022-08-14T00:00:00"/>
    <s v="Mohamed Ali"/>
    <x v="1"/>
    <s v="United States"/>
    <s v="Phoenix"/>
    <x v="2"/>
    <x v="0"/>
    <s v="Bookcases"/>
    <x v="162"/>
    <x v="319"/>
    <n v="1"/>
    <n v="0.1"/>
    <n v="-179.03"/>
    <n v="1003.37"/>
    <n v="128"/>
    <n v="-0.17842869529684963"/>
  </r>
  <r>
    <s v="ORD-1320 "/>
    <x v="0"/>
    <d v="2022-06-25T00:00:00"/>
    <s v="Rahul Kumar"/>
    <x v="1"/>
    <s v="United States "/>
    <s v="Phoenix"/>
    <x v="1"/>
    <x v="0"/>
    <s v="Bookcases"/>
    <x v="222"/>
    <x v="320"/>
    <n v="10"/>
    <n v="0"/>
    <n v="136.72"/>
    <n v="115.072"/>
    <n v="44737"/>
    <n v="0.11881256952169077"/>
  </r>
  <r>
    <s v="ORD-1321 "/>
    <x v="0"/>
    <d v="2022-06-28T00:00:00"/>
    <s v="Rahul Kumar"/>
    <x v="0"/>
    <s v="United States"/>
    <s v="Houston"/>
    <x v="0"/>
    <x v="2"/>
    <s v="Copiers"/>
    <x v="223"/>
    <x v="321"/>
    <n v="10"/>
    <n v="0.1"/>
    <n v="21.03"/>
    <n v="18.84"/>
    <n v="44740"/>
    <n v="0.11162420382165605"/>
  </r>
  <r>
    <s v="ORD-1322 "/>
    <x v="224"/>
    <d v="2023-01-30T00:00:00"/>
    <s v="Mohamed Ali"/>
    <x v="1"/>
    <s v="United States "/>
    <s v="Phoenix"/>
    <x v="0"/>
    <x v="0"/>
    <s v="Chairs"/>
    <x v="127"/>
    <x v="322"/>
    <n v="9"/>
    <n v="0"/>
    <n v="5.62"/>
    <n v="4.3933"/>
    <n v="7"/>
    <n v="0.14213454729387962"/>
  </r>
  <r>
    <s v="ORD-1323 "/>
    <x v="0"/>
    <d v="2023-06-02T00:00:00"/>
    <s v="Sara Lee  "/>
    <x v="2"/>
    <s v="United States"/>
    <s v="Miami"/>
    <x v="0"/>
    <x v="0"/>
    <s v="Tables"/>
    <x v="224"/>
    <x v="323"/>
    <n v="10"/>
    <n v="0"/>
    <n v="170.6"/>
    <n v="79.808000000000007"/>
    <n v="45079"/>
    <n v="0.21376303127506013"/>
  </r>
  <r>
    <s v="ORD-1324 "/>
    <x v="0"/>
    <d v="2023-07-04T00:00:00"/>
    <s v="Mohamed Ali"/>
    <x v="2"/>
    <s v="United States "/>
    <s v="Chicago"/>
    <x v="1"/>
    <x v="0"/>
    <s v="Tables"/>
    <x v="100"/>
    <x v="324"/>
    <n v="7"/>
    <n v="0.15"/>
    <n v="89.96"/>
    <n v="135.95429999999999"/>
    <n v="45111"/>
    <n v="9.4527572293207796E-2"/>
  </r>
  <r>
    <s v="ORD-1325 "/>
    <x v="0"/>
    <d v="2022-08-29T00:00:00"/>
    <s v="John Smith  "/>
    <x v="0"/>
    <s v="United States"/>
    <s v="Phoenix"/>
    <x v="0"/>
    <x v="2"/>
    <s v="Copiers"/>
    <x v="174"/>
    <x v="325"/>
    <n v="7"/>
    <n v="0.15"/>
    <n v="-111.25"/>
    <n v="150.65430000000001"/>
    <n v="44802"/>
    <n v="-0.10549223387509721"/>
  </r>
  <r>
    <s v="ORD-1326 "/>
    <x v="225"/>
    <d v="2023-11-06T00:00:00"/>
    <s v="Rahul Kumar "/>
    <x v="0"/>
    <s v="United States "/>
    <s v="Phoenix"/>
    <x v="3"/>
    <x v="1"/>
    <s v="Paper"/>
    <x v="177"/>
    <x v="326"/>
    <n v="2"/>
    <n v="0.1"/>
    <n v="6.55"/>
    <n v="251.22"/>
    <n v="268"/>
    <n v="1.3036382453626304E-2"/>
  </r>
  <r>
    <s v="ORD-1327 "/>
    <x v="226"/>
    <d v="2022-10-17T00:00:00"/>
    <s v="Mohamed Ali "/>
    <x v="2"/>
    <s v="United States"/>
    <s v="Phoenix"/>
    <x v="3"/>
    <x v="0"/>
    <s v="Tables"/>
    <x v="100"/>
    <x v="327"/>
    <n v="9"/>
    <n v="0.2"/>
    <n v="-74.290000000000006"/>
    <n v="74.608900000000006"/>
    <n v="7"/>
    <n v="-0.11063620658843153"/>
  </r>
  <r>
    <s v="ORD-1328 "/>
    <x v="0"/>
    <d v="2023-12-31T00:00:00"/>
    <s v="Alice Brown"/>
    <x v="1"/>
    <s v="United States "/>
    <s v="Miami"/>
    <x v="3"/>
    <x v="1"/>
    <s v="Binders"/>
    <x v="225"/>
    <x v="328"/>
    <n v="2"/>
    <n v="0.1"/>
    <n v="23.97"/>
    <n v="514.45000000000005"/>
    <n v="45291"/>
    <n v="2.3296724657401104E-2"/>
  </r>
  <r>
    <s v="ORD-1329 "/>
    <x v="227"/>
    <d v="2023-09-22T00:00:00"/>
    <s v="Mohamed Ali "/>
    <x v="1"/>
    <s v="United States"/>
    <s v="Chicago"/>
    <x v="2"/>
    <x v="0"/>
    <s v="Tables"/>
    <x v="226"/>
    <x v="329"/>
    <n v="1"/>
    <n v="0"/>
    <n v="245.11"/>
    <n v="1158.19"/>
    <n v="1"/>
    <n v="0.21163194294545801"/>
  </r>
  <r>
    <s v="ORD-1330 "/>
    <x v="228"/>
    <d v="2022-04-02T00:00:00"/>
    <s v="Mohamed Ali"/>
    <x v="1"/>
    <s v="United States "/>
    <s v="Houston"/>
    <x v="0"/>
    <x v="0"/>
    <s v="Bookcases"/>
    <x v="227"/>
    <x v="330"/>
    <n v="7"/>
    <n v="0"/>
    <n v="60.65"/>
    <n v="67.642899999999997"/>
    <n v="10"/>
    <n v="0.12808870116156282"/>
  </r>
  <r>
    <s v="ORD-1331 "/>
    <x v="229"/>
    <d v="2024-05-29T00:00:00"/>
    <s v="Mohamed Ali"/>
    <x v="0"/>
    <s v="United States"/>
    <s v="Chicago"/>
    <x v="2"/>
    <x v="2"/>
    <s v="Phones"/>
    <x v="173"/>
    <x v="331"/>
    <n v="10"/>
    <n v="0"/>
    <n v="3.45"/>
    <n v="5.9660000000000002"/>
    <n v="9"/>
    <n v="5.7827690244720086E-2"/>
  </r>
  <r>
    <s v="ORD-1332 "/>
    <x v="230"/>
    <d v="2022-01-04T00:00:00"/>
    <s v="Mohamed Ali"/>
    <x v="0"/>
    <s v="United States"/>
    <s v="New York"/>
    <x v="3"/>
    <x v="0"/>
    <s v="Tables"/>
    <x v="228"/>
    <x v="332"/>
    <n v="6"/>
    <n v="0.2"/>
    <n v="2.56"/>
    <n v="156.66829999999999"/>
    <n v="3"/>
    <n v="2.7233752832416676E-3"/>
  </r>
  <r>
    <s v="ORD-1333 "/>
    <x v="231"/>
    <d v="2024-05-08T00:00:00"/>
    <s v="Sara Lee "/>
    <x v="0"/>
    <s v="United States"/>
    <s v="Chicago"/>
    <x v="2"/>
    <x v="1"/>
    <s v="Paper"/>
    <x v="229"/>
    <x v="333"/>
    <n v="5"/>
    <n v="0.1"/>
    <n v="44.37"/>
    <n v="86.004000000000005"/>
    <n v="9"/>
    <n v="0.10318124738384261"/>
  </r>
  <r>
    <s v="ORD-1334 "/>
    <x v="232"/>
    <d v="2023-06-05T00:00:00"/>
    <s v="Mohamed Ali  "/>
    <x v="2"/>
    <s v="United States "/>
    <s v="Houston"/>
    <x v="1"/>
    <x v="1"/>
    <s v="Binders"/>
    <x v="230"/>
    <x v="334"/>
    <n v="6"/>
    <n v="0"/>
    <n v="123.65"/>
    <n v="102.29"/>
    <n v="2"/>
    <n v="0.20146967771368984"/>
  </r>
  <r>
    <s v="ORD-1335 "/>
    <x v="233"/>
    <d v="2022-09-13T00:00:00"/>
    <s v="John Smith "/>
    <x v="0"/>
    <s v="United States "/>
    <s v="Seattle"/>
    <x v="2"/>
    <x v="2"/>
    <s v="Copiers"/>
    <x v="195"/>
    <x v="335"/>
    <n v="10"/>
    <n v="0"/>
    <n v="23.1"/>
    <n v="56.365000000000002"/>
    <n v="6"/>
    <n v="4.0982879446465011E-2"/>
  </r>
  <r>
    <s v="ORD-1336 "/>
    <x v="234"/>
    <d v="2023-03-05T00:00:00"/>
    <s v="Rahul Kumar"/>
    <x v="0"/>
    <s v="United States "/>
    <s v="Houston"/>
    <x v="3"/>
    <x v="1"/>
    <s v="Storage"/>
    <x v="159"/>
    <x v="336"/>
    <n v="5"/>
    <n v="0.1"/>
    <n v="-1.77"/>
    <n v="6.2939999999999996"/>
    <n v="6"/>
    <n v="-5.624404194470925E-2"/>
  </r>
  <r>
    <s v="ORD-1337 "/>
    <x v="1"/>
    <d v="2022-08-22T00:00:00"/>
    <s v="Alice Brown "/>
    <x v="1"/>
    <s v="United States "/>
    <s v="Los Angeles"/>
    <x v="2"/>
    <x v="2"/>
    <s v="Phones"/>
    <x v="28"/>
    <x v="337"/>
    <n v="4"/>
    <n v="0.2"/>
    <n v="191.75"/>
    <n v="284.39999999999998"/>
    <n v="10"/>
    <n v="0.16855661040787626"/>
  </r>
  <r>
    <s v="ORD-1338 "/>
    <x v="0"/>
    <d v="2023-01-03T00:00:00"/>
    <s v="John Smith "/>
    <x v="2"/>
    <s v="United States"/>
    <s v="Houston"/>
    <x v="3"/>
    <x v="0"/>
    <s v="Chairs"/>
    <x v="32"/>
    <x v="338"/>
    <n v="8"/>
    <n v="0"/>
    <n v="-217.5"/>
    <n v="138.22749999999999"/>
    <n v="44929"/>
    <n v="-0.1966866216924997"/>
  </r>
  <r>
    <s v="ORD-1339 "/>
    <x v="235"/>
    <d v="2022-07-16T00:00:00"/>
    <s v="Sara Lee  "/>
    <x v="1"/>
    <s v="United States"/>
    <s v="Houston"/>
    <x v="2"/>
    <x v="2"/>
    <s v="Accessories"/>
    <x v="231"/>
    <x v="339"/>
    <n v="10"/>
    <n v="0.1"/>
    <n v="-48.78"/>
    <n v="28.207000000000001"/>
    <n v="9"/>
    <n v="-0.17293579607898749"/>
  </r>
  <r>
    <s v="ORD-1340 "/>
    <x v="236"/>
    <d v="2022-05-13T00:00:00"/>
    <s v="Rahul Kumar "/>
    <x v="0"/>
    <s v="United States"/>
    <s v="Los Angeles"/>
    <x v="3"/>
    <x v="2"/>
    <s v="Accessories"/>
    <x v="232"/>
    <x v="340"/>
    <n v="1"/>
    <n v="0.1"/>
    <n v="-8.57"/>
    <n v="833.27"/>
    <n v="9"/>
    <n v="-1.0284781643404899E-2"/>
  </r>
  <r>
    <s v="ORD-1341 "/>
    <x v="237"/>
    <d v="2022-10-11T00:00:00"/>
    <s v="Rahul Kumar "/>
    <x v="2"/>
    <s v="United States"/>
    <s v="Houston"/>
    <x v="2"/>
    <x v="1"/>
    <s v="Paper"/>
    <x v="233"/>
    <x v="341"/>
    <n v="8"/>
    <n v="0.2"/>
    <n v="-42.8"/>
    <n v="56.473799999999997"/>
    <n v="215"/>
    <n v="-9.4734279200513499E-2"/>
  </r>
  <r>
    <s v="ORD-1342 "/>
    <x v="238"/>
    <d v="2022-05-25T00:00:00"/>
    <s v="Alice Brown"/>
    <x v="0"/>
    <s v="United States "/>
    <s v="Houston"/>
    <x v="0"/>
    <x v="1"/>
    <s v="Binders"/>
    <x v="234"/>
    <x v="342"/>
    <n v="5"/>
    <n v="0.1"/>
    <n v="76.17"/>
    <n v="196.148"/>
    <n v="10"/>
    <n v="7.7665844158492564E-2"/>
  </r>
  <r>
    <s v="ORD-1343 "/>
    <x v="239"/>
    <d v="2023-03-16T00:00:00"/>
    <s v="Mohamed Ali"/>
    <x v="2"/>
    <s v="United States"/>
    <s v="Seattle"/>
    <x v="2"/>
    <x v="0"/>
    <s v="Bookcases"/>
    <x v="162"/>
    <x v="343"/>
    <n v="6"/>
    <n v="0.2"/>
    <n v="-31.49"/>
    <n v="105.0117"/>
    <n v="-140"/>
    <n v="-4.9978573809259283E-2"/>
  </r>
  <r>
    <s v="ORD-1344 "/>
    <x v="101"/>
    <d v="2022-08-14T00:00:00"/>
    <s v="Mohamed Ali "/>
    <x v="2"/>
    <s v="United States"/>
    <s v="Houston"/>
    <x v="0"/>
    <x v="2"/>
    <s v="Copiers"/>
    <x v="60"/>
    <x v="344"/>
    <n v="6"/>
    <n v="0.15"/>
    <n v="-2.61"/>
    <n v="22.273299999999999"/>
    <n v="-25"/>
    <n v="-1.9530080814127507E-2"/>
  </r>
  <r>
    <s v="ORD-1345 "/>
    <x v="240"/>
    <d v="2024-06-17T00:00:00"/>
    <s v="Rahul Kumar "/>
    <x v="0"/>
    <s v="United States "/>
    <s v="Miami"/>
    <x v="1"/>
    <x v="0"/>
    <s v="Bookcases"/>
    <x v="0"/>
    <x v="345"/>
    <n v="9"/>
    <n v="0.1"/>
    <n v="202.65"/>
    <n v="77.728899999999996"/>
    <n v="10"/>
    <n v="0.28968208588255479"/>
  </r>
  <r>
    <s v="ORD-1346 "/>
    <x v="241"/>
    <d v="2023-02-05T00:00:00"/>
    <s v="Sara Lee  "/>
    <x v="0"/>
    <s v="United States "/>
    <s v="Miami"/>
    <x v="0"/>
    <x v="2"/>
    <s v="Accessories"/>
    <x v="37"/>
    <x v="346"/>
    <n v="3"/>
    <n v="0.1"/>
    <n v="92.07"/>
    <n v="255.14"/>
    <n v="10"/>
    <n v="0.1202869013090852"/>
  </r>
  <r>
    <s v="ORD-1347 "/>
    <x v="242"/>
    <d v="2022-06-21T00:00:00"/>
    <s v="Rahul Kumar "/>
    <x v="2"/>
    <s v="United States "/>
    <s v="Houston"/>
    <x v="2"/>
    <x v="0"/>
    <s v="Tables"/>
    <x v="235"/>
    <x v="347"/>
    <n v="5"/>
    <n v="0.15"/>
    <n v="40.450000000000003"/>
    <n v="78.784000000000006"/>
    <n v="6"/>
    <n v="0.10268582453290008"/>
  </r>
  <r>
    <s v="ORD-1348 "/>
    <x v="243"/>
    <d v="2024-05-25T00:00:00"/>
    <s v="John Smith"/>
    <x v="1"/>
    <s v="United States "/>
    <s v="Phoenix"/>
    <x v="0"/>
    <x v="0"/>
    <s v="Bookcases"/>
    <x v="236"/>
    <x v="348"/>
    <n v="5"/>
    <n v="0"/>
    <n v="-28.12"/>
    <n v="59.372"/>
    <n v="1"/>
    <n v="-9.4724786094455296E-2"/>
  </r>
  <r>
    <s v="ORD-1349 "/>
    <x v="244"/>
    <d v="2024-03-07T00:00:00"/>
    <s v="Rahul Kumar"/>
    <x v="1"/>
    <s v="United States"/>
    <s v="Houston"/>
    <x v="2"/>
    <x v="1"/>
    <s v="Binders"/>
    <x v="237"/>
    <x v="349"/>
    <n v="10"/>
    <n v="0.1"/>
    <n v="-22.51"/>
    <n v="14.263999999999999"/>
    <n v="7"/>
    <n v="-0.15780987100392599"/>
  </r>
  <r>
    <s v="ORD-1350 "/>
    <x v="0"/>
    <d v="2023-06-27T00:00:00"/>
    <s v="Rahul Kumar  "/>
    <x v="2"/>
    <s v="United States "/>
    <s v="Seattle"/>
    <x v="2"/>
    <x v="0"/>
    <s v="Chairs"/>
    <x v="171"/>
    <x v="350"/>
    <n v="6"/>
    <n v="0.2"/>
    <n v="26.98"/>
    <n v="133.83170000000001"/>
    <n v="45104"/>
    <n v="3.3599422159678205E-2"/>
  </r>
  <r>
    <s v="ORD-1351 "/>
    <x v="245"/>
    <d v="2023-09-12T00:00:00"/>
    <s v="Mohamed Ali "/>
    <x v="2"/>
    <s v="United States "/>
    <s v="Phoenix"/>
    <x v="2"/>
    <x v="1"/>
    <s v="Storage"/>
    <x v="107"/>
    <x v="351"/>
    <n v="10"/>
    <n v="0.2"/>
    <n v="47.55"/>
    <n v="77.03"/>
    <n v="156"/>
    <n v="6.1729196416980395E-2"/>
  </r>
  <r>
    <s v="ORD-1352 "/>
    <x v="75"/>
    <d v="2023-04-03T00:00:00"/>
    <s v="Rahul Kumar "/>
    <x v="2"/>
    <s v="United States"/>
    <s v="Seattle"/>
    <x v="1"/>
    <x v="2"/>
    <s v="Accessories"/>
    <x v="238"/>
    <x v="352"/>
    <n v="5"/>
    <n v="0"/>
    <n v="-65.3"/>
    <n v="65.313999999999993"/>
    <n v="5"/>
    <n v="-0.19995713017117309"/>
  </r>
  <r>
    <s v="ORD-1353 "/>
    <x v="246"/>
    <d v="2023-05-09T00:00:00"/>
    <s v="Rahul Kumar"/>
    <x v="2"/>
    <s v="United States "/>
    <s v="Houston"/>
    <x v="2"/>
    <x v="0"/>
    <s v="Tables"/>
    <x v="239"/>
    <x v="353"/>
    <n v="10"/>
    <n v="0.1"/>
    <n v="190.77"/>
    <n v="96.16"/>
    <n v="34"/>
    <n v="0.19838810316139768"/>
  </r>
  <r>
    <s v="ORD-1354 "/>
    <x v="247"/>
    <d v="2024-01-10T00:00:00"/>
    <s v="Rahul Kumar "/>
    <x v="0"/>
    <s v="United States"/>
    <s v="Houston"/>
    <x v="2"/>
    <x v="2"/>
    <s v="Phones"/>
    <x v="240"/>
    <x v="354"/>
    <n v="7"/>
    <n v="0.1"/>
    <n v="19.260000000000002"/>
    <n v="47.188600000000001"/>
    <n v="-51"/>
    <n v="5.8307096149188671E-2"/>
  </r>
  <r>
    <s v="ORD-1355 "/>
    <x v="248"/>
    <d v="2022-07-09T00:00:00"/>
    <s v="Sara Lee"/>
    <x v="2"/>
    <s v="United States"/>
    <s v="Los Angeles"/>
    <x v="0"/>
    <x v="2"/>
    <s v="Phones"/>
    <x v="241"/>
    <x v="355"/>
    <n v="10"/>
    <n v="0.2"/>
    <n v="-49.33"/>
    <n v="77.153000000000006"/>
    <n v="32"/>
    <n v="-6.3937889647842597E-2"/>
  </r>
  <r>
    <s v="ORD-1356 "/>
    <x v="119"/>
    <d v="2022-01-26T00:00:00"/>
    <s v="John Smith "/>
    <x v="1"/>
    <s v="United States"/>
    <s v="Houston"/>
    <x v="3"/>
    <x v="0"/>
    <s v="Tables"/>
    <x v="242"/>
    <x v="356"/>
    <n v="8"/>
    <n v="0"/>
    <n v="-28.23"/>
    <n v="42.206200000000003"/>
    <n v="3"/>
    <n v="-8.3607285650821858E-2"/>
  </r>
  <r>
    <s v="ORD-1357 "/>
    <x v="249"/>
    <d v="2023-01-24T00:00:00"/>
    <s v="John Smith  "/>
    <x v="2"/>
    <s v="United States "/>
    <s v="Los Angeles"/>
    <x v="3"/>
    <x v="1"/>
    <s v="Binders"/>
    <x v="243"/>
    <x v="357"/>
    <n v="3"/>
    <n v="0"/>
    <n v="-27.35"/>
    <n v="136.5633"/>
    <n v="8"/>
    <n v="-6.6757792477238898E-2"/>
  </r>
  <r>
    <s v="ORD-1358 "/>
    <x v="106"/>
    <d v="2024-04-29T00:00:00"/>
    <s v="Alice Brown "/>
    <x v="0"/>
    <s v="United States"/>
    <s v="Phoenix"/>
    <x v="2"/>
    <x v="0"/>
    <s v="Bookcases"/>
    <x v="222"/>
    <x v="358"/>
    <n v="8"/>
    <n v="0.1"/>
    <n v="52.97"/>
    <n v="39.222499999999997"/>
    <n v="1"/>
    <n v="0.1688125438205112"/>
  </r>
  <r>
    <s v="ORD-1359 "/>
    <x v="66"/>
    <d v="2023-02-08T00:00:00"/>
    <s v="Sara Lee  "/>
    <x v="2"/>
    <s v="United States "/>
    <s v="Chicago"/>
    <x v="0"/>
    <x v="2"/>
    <s v="Phones"/>
    <x v="21"/>
    <x v="359"/>
    <n v="1"/>
    <n v="0"/>
    <n v="46.1"/>
    <n v="762.41"/>
    <n v="5"/>
    <n v="6.0466153382038541E-2"/>
  </r>
  <r>
    <s v="ORD-1360 "/>
    <x v="250"/>
    <d v="2022-08-14T00:00:00"/>
    <s v="John Smith "/>
    <x v="1"/>
    <s v="United States"/>
    <s v="New York"/>
    <x v="1"/>
    <x v="0"/>
    <s v="Bookcases"/>
    <x v="244"/>
    <x v="360"/>
    <n v="1"/>
    <n v="0.1"/>
    <n v="104.97"/>
    <n v="532.30999999999995"/>
    <n v="-116"/>
    <n v="0.1971971219777949"/>
  </r>
  <r>
    <s v="ORD-1361 "/>
    <x v="251"/>
    <d v="2023-09-06T00:00:00"/>
    <s v="John Smith"/>
    <x v="2"/>
    <s v="United States "/>
    <s v="Seattle"/>
    <x v="0"/>
    <x v="2"/>
    <s v="Phones"/>
    <x v="73"/>
    <x v="361"/>
    <n v="8"/>
    <n v="0"/>
    <n v="44.82"/>
    <n v="39.186300000000003"/>
    <n v="3"/>
    <n v="0.14297106765766052"/>
  </r>
  <r>
    <s v="ORD-1362 "/>
    <x v="252"/>
    <d v="2023-05-19T00:00:00"/>
    <s v="Sara Lee "/>
    <x v="0"/>
    <s v="United States "/>
    <s v="Chicago"/>
    <x v="0"/>
    <x v="2"/>
    <s v="Copiers"/>
    <x v="36"/>
    <x v="362"/>
    <n v="6"/>
    <n v="0.2"/>
    <n v="158.35"/>
    <n v="158.41669999999999"/>
    <n v="4"/>
    <n v="0.1665965281430826"/>
  </r>
  <r>
    <s v="ORD-1363 "/>
    <x v="0"/>
    <d v="2024-01-02T00:00:00"/>
    <s v="Rahul Kumar "/>
    <x v="0"/>
    <s v="United States "/>
    <s v="Chicago"/>
    <x v="2"/>
    <x v="1"/>
    <s v="Paper"/>
    <x v="245"/>
    <x v="363"/>
    <n v="8"/>
    <n v="0.1"/>
    <n v="55.05"/>
    <n v="82.553700000000006"/>
    <n v="45293"/>
    <n v="8.3354784004360791E-2"/>
  </r>
  <r>
    <s v="ORD-1364 "/>
    <x v="0"/>
    <d v="2023-07-01T00:00:00"/>
    <s v="Mohamed Ali "/>
    <x v="0"/>
    <s v="United States "/>
    <s v="New York"/>
    <x v="3"/>
    <x v="2"/>
    <s v="Accessories"/>
    <x v="189"/>
    <x v="364"/>
    <n v="9"/>
    <n v="0.15"/>
    <n v="26.69"/>
    <n v="109.6567"/>
    <n v="45108"/>
    <n v="2.7044006039051181E-2"/>
  </r>
  <r>
    <s v="ORD-1365 "/>
    <x v="0"/>
    <d v="2023-10-02T00:00:00"/>
    <s v="Sara Lee  "/>
    <x v="1"/>
    <s v="United States"/>
    <s v="Chicago"/>
    <x v="1"/>
    <x v="2"/>
    <s v="Copiers"/>
    <x v="52"/>
    <x v="365"/>
    <n v="9"/>
    <n v="0.2"/>
    <n v="-9.9499999999999993"/>
    <n v="10.5267"/>
    <n v="45201"/>
    <n v="-0.10502427696854549"/>
  </r>
  <r>
    <s v="ORD-1366 "/>
    <x v="253"/>
    <d v="2022-11-28T00:00:00"/>
    <s v="Alice Brown"/>
    <x v="2"/>
    <s v="United States "/>
    <s v="New York"/>
    <x v="0"/>
    <x v="0"/>
    <s v="Bookcases"/>
    <x v="246"/>
    <x v="366"/>
    <n v="1"/>
    <n v="0.1"/>
    <n v="-88.27"/>
    <n v="797.49"/>
    <n v="2"/>
    <n v="-0.1106847734767834"/>
  </r>
  <r>
    <s v="ORD-1367 "/>
    <x v="254"/>
    <d v="2023-10-27T00:00:00"/>
    <s v="Mohamed Ali  "/>
    <x v="1"/>
    <s v="United States"/>
    <s v="Los Angeles"/>
    <x v="1"/>
    <x v="1"/>
    <s v="Paper"/>
    <x v="83"/>
    <x v="367"/>
    <n v="10"/>
    <n v="0.15"/>
    <n v="-112.38"/>
    <n v="64.046999999999997"/>
    <n v="7"/>
    <n v="-0.17546489296922571"/>
  </r>
  <r>
    <s v="ORD-1368 "/>
    <x v="57"/>
    <d v="2023-04-26T00:00:00"/>
    <s v="Mohamed Ali "/>
    <x v="0"/>
    <s v="United States"/>
    <s v="Seattle"/>
    <x v="0"/>
    <x v="2"/>
    <s v="Copiers"/>
    <x v="247"/>
    <x v="368"/>
    <n v="7"/>
    <n v="0.15"/>
    <n v="176.88"/>
    <n v="128.1857"/>
    <n v="1"/>
    <n v="0.19712470745570043"/>
  </r>
  <r>
    <s v="ORD-1369 "/>
    <x v="72"/>
    <d v="2022-03-25T00:00:00"/>
    <s v="Mohamed Ali  "/>
    <x v="1"/>
    <s v="United States "/>
    <s v="Phoenix"/>
    <x v="1"/>
    <x v="1"/>
    <s v="Binders"/>
    <x v="248"/>
    <x v="369"/>
    <n v="4"/>
    <n v="0"/>
    <n v="-1.02"/>
    <n v="34.862499999999997"/>
    <n v="4"/>
    <n v="-7.3144496235209759E-3"/>
  </r>
  <r>
    <s v="ORD-1370 "/>
    <x v="255"/>
    <d v="2022-04-29T00:00:00"/>
    <s v="Mohamed Ali "/>
    <x v="0"/>
    <s v="United States"/>
    <s v="Seattle"/>
    <x v="2"/>
    <x v="2"/>
    <s v="Copiers"/>
    <x v="4"/>
    <x v="370"/>
    <n v="7"/>
    <n v="0"/>
    <n v="-65.44"/>
    <n v="80.184299999999993"/>
    <n v="10"/>
    <n v="-0.11658857275205331"/>
  </r>
  <r>
    <s v="ORD-1371 "/>
    <x v="32"/>
    <d v="2023-09-15T00:00:00"/>
    <s v="Sara Lee  "/>
    <x v="2"/>
    <s v="United States "/>
    <s v="Phoenix"/>
    <x v="2"/>
    <x v="2"/>
    <s v="Accessories"/>
    <x v="249"/>
    <x v="371"/>
    <n v="6"/>
    <n v="0.15"/>
    <n v="4.13"/>
    <n v="111.5167"/>
    <n v="68"/>
    <n v="6.172470482738006E-3"/>
  </r>
  <r>
    <s v="ORD-1372 "/>
    <x v="256"/>
    <d v="2024-03-04T00:00:00"/>
    <s v="John Smith "/>
    <x v="0"/>
    <s v="United States"/>
    <s v="Phoenix"/>
    <x v="2"/>
    <x v="1"/>
    <s v="Paper"/>
    <x v="250"/>
    <x v="372"/>
    <n v="8"/>
    <n v="0.2"/>
    <n v="124.51"/>
    <n v="55.601300000000002"/>
    <n v="9"/>
    <n v="0.27991726804703132"/>
  </r>
  <r>
    <s v="ORD-1373 "/>
    <x v="257"/>
    <d v="2022-01-12T00:00:00"/>
    <s v="Mohamed Ali  "/>
    <x v="0"/>
    <s v="United States "/>
    <s v="New York"/>
    <x v="0"/>
    <x v="0"/>
    <s v="Chairs"/>
    <x v="80"/>
    <x v="373"/>
    <n v="1"/>
    <n v="0.15"/>
    <n v="267.27999999999997"/>
    <n v="1029.75"/>
    <n v="-170"/>
    <n v="0.25955814518086912"/>
  </r>
  <r>
    <s v="ORD-1374 "/>
    <x v="258"/>
    <d v="2023-01-03T00:00:00"/>
    <s v="John Smith  "/>
    <x v="2"/>
    <s v="United States "/>
    <s v="Seattle"/>
    <x v="0"/>
    <x v="0"/>
    <s v="Tables"/>
    <x v="228"/>
    <x v="374"/>
    <n v="10"/>
    <n v="0.1"/>
    <n v="-37.840000000000003"/>
    <n v="45.316000000000003"/>
    <n v="3"/>
    <n v="-8.3502515667755323E-2"/>
  </r>
  <r>
    <s v="ORD-1375 "/>
    <x v="259"/>
    <d v="2022-12-07T00:00:00"/>
    <s v="John Smith  "/>
    <x v="0"/>
    <s v="United States "/>
    <s v="New York"/>
    <x v="0"/>
    <x v="0"/>
    <s v="Tables"/>
    <x v="100"/>
    <x v="375"/>
    <n v="10"/>
    <n v="0"/>
    <n v="97.06"/>
    <n v="99.433000000000007"/>
    <n v="8"/>
    <n v="9.7613468365633144E-2"/>
  </r>
  <r>
    <s v="ORD-1376 "/>
    <x v="260"/>
    <d v="2022-12-15T00:00:00"/>
    <s v="John Smith  "/>
    <x v="0"/>
    <s v="United States "/>
    <s v="New York"/>
    <x v="3"/>
    <x v="2"/>
    <s v="Accessories"/>
    <x v="251"/>
    <x v="376"/>
    <n v="2"/>
    <n v="0.1"/>
    <n v="194.3"/>
    <n v="558.84500000000003"/>
    <n v="94"/>
    <n v="0.17384068927878035"/>
  </r>
  <r>
    <s v="ORD-1377 "/>
    <x v="261"/>
    <d v="2022-02-18T00:00:00"/>
    <s v="Sara Lee "/>
    <x v="0"/>
    <s v="United States"/>
    <s v="Los Angeles"/>
    <x v="1"/>
    <x v="1"/>
    <s v="Storage"/>
    <x v="252"/>
    <x v="377"/>
    <n v="9"/>
    <n v="0.1"/>
    <n v="-24.25"/>
    <n v="21.833300000000001"/>
    <n v="-287"/>
    <n v="-0.12340966921119594"/>
  </r>
  <r>
    <s v="ORD-1378 "/>
    <x v="0"/>
    <d v="2024-03-23T00:00:00"/>
    <s v="Sara Lee "/>
    <x v="1"/>
    <s v="United States "/>
    <s v="Phoenix"/>
    <x v="1"/>
    <x v="0"/>
    <s v="Chairs"/>
    <x v="206"/>
    <x v="378"/>
    <n v="8"/>
    <n v="0"/>
    <n v="71.94"/>
    <n v="52.085000000000001"/>
    <n v="45374"/>
    <n v="0.17265047518479407"/>
  </r>
  <r>
    <s v="ORD-1379 "/>
    <x v="262"/>
    <d v="2023-12-19T00:00:00"/>
    <s v="Mohamed Ali  "/>
    <x v="0"/>
    <s v="United States "/>
    <s v="Los Angeles"/>
    <x v="0"/>
    <x v="0"/>
    <s v="Tables"/>
    <x v="151"/>
    <x v="379"/>
    <n v="8"/>
    <n v="0.2"/>
    <n v="85.76"/>
    <n v="84.996300000000005"/>
    <n v="3"/>
    <n v="0.12612321131814638"/>
  </r>
  <r>
    <s v="ORD-1380 "/>
    <x v="263"/>
    <d v="2024-03-13T00:00:00"/>
    <s v="Rahul Kumar "/>
    <x v="1"/>
    <s v="United States"/>
    <s v="Chicago"/>
    <x v="0"/>
    <x v="2"/>
    <s v="Copiers"/>
    <x v="253"/>
    <x v="380"/>
    <n v="2"/>
    <n v="0"/>
    <n v="150.88999999999999"/>
    <n v="555.24"/>
    <n v="7"/>
    <n v="0.13587817880556155"/>
  </r>
  <r>
    <s v="ORD-1381 "/>
    <x v="264"/>
    <d v="2022-11-12T00:00:00"/>
    <s v="Alice Brown"/>
    <x v="0"/>
    <s v="United States"/>
    <s v="Los Angeles"/>
    <x v="0"/>
    <x v="2"/>
    <s v="Copiers"/>
    <x v="254"/>
    <x v="381"/>
    <n v="8"/>
    <n v="0"/>
    <n v="-125.75"/>
    <n v="123.68380000000001"/>
    <n v="3"/>
    <n v="-0.12708823915833728"/>
  </r>
  <r>
    <s v="ORD-1382 "/>
    <x v="265"/>
    <d v="2024-01-29T00:00:00"/>
    <s v="Rahul Kumar "/>
    <x v="2"/>
    <s v="United States"/>
    <s v="Chicago"/>
    <x v="2"/>
    <x v="0"/>
    <s v="Bookcases"/>
    <x v="255"/>
    <x v="382"/>
    <n v="5"/>
    <n v="0"/>
    <n v="-31.58"/>
    <n v="222.708"/>
    <n v="1"/>
    <n v="-2.8360005029006589E-2"/>
  </r>
  <r>
    <s v="ORD-1383 "/>
    <x v="266"/>
    <d v="2023-07-09T00:00:00"/>
    <s v="Alice Brown  "/>
    <x v="0"/>
    <s v="United States"/>
    <s v="Houston"/>
    <x v="0"/>
    <x v="0"/>
    <s v="Bookcases"/>
    <x v="256"/>
    <x v="383"/>
    <n v="5"/>
    <n v="0"/>
    <n v="26.46"/>
    <n v="127.49"/>
    <n v="63"/>
    <n v="4.1509137971605617E-2"/>
  </r>
  <r>
    <s v="ORD-1384 "/>
    <x v="0"/>
    <d v="2022-06-25T00:00:00"/>
    <s v="John Smith"/>
    <x v="2"/>
    <s v="United States"/>
    <s v="Seattle"/>
    <x v="3"/>
    <x v="2"/>
    <s v="Phones"/>
    <x v="109"/>
    <x v="384"/>
    <n v="10"/>
    <n v="0.15"/>
    <n v="-165"/>
    <n v="95.123999999999995"/>
    <n v="44737"/>
    <n v="-0.17345780244733192"/>
  </r>
  <r>
    <s v="ORD-1385 "/>
    <x v="86"/>
    <d v="2022-01-25T00:00:00"/>
    <s v="Rahul Kumar "/>
    <x v="0"/>
    <s v="United States"/>
    <s v="Los Angeles"/>
    <x v="2"/>
    <x v="1"/>
    <s v="Paper"/>
    <x v="257"/>
    <x v="385"/>
    <n v="7"/>
    <n v="0"/>
    <n v="84.41"/>
    <n v="41.825699999999998"/>
    <n v="5"/>
    <n v="0.28830521210465199"/>
  </r>
  <r>
    <s v="ORD-1386 "/>
    <x v="267"/>
    <d v="2023-04-23T00:00:00"/>
    <s v="Alice Brown"/>
    <x v="2"/>
    <s v="United States"/>
    <s v="Chicago"/>
    <x v="3"/>
    <x v="1"/>
    <s v="Binders"/>
    <x v="258"/>
    <x v="386"/>
    <n v="9"/>
    <n v="0.15"/>
    <n v="-2.2200000000000002"/>
    <n v="7.4344000000000001"/>
    <n v="9"/>
    <n v="-3.3178897025855629E-2"/>
  </r>
  <r>
    <s v="ORD-1387 "/>
    <x v="268"/>
    <d v="2023-06-03T00:00:00"/>
    <s v="Alice Brown"/>
    <x v="2"/>
    <s v="United States "/>
    <s v="Seattle"/>
    <x v="2"/>
    <x v="0"/>
    <s v="Bookcases"/>
    <x v="0"/>
    <x v="387"/>
    <n v="7"/>
    <n v="0"/>
    <n v="88.17"/>
    <n v="46.2943"/>
    <n v="5"/>
    <n v="0.27207924458433624"/>
  </r>
  <r>
    <s v="ORD-1388 "/>
    <x v="269"/>
    <d v="2024-01-25T00:00:00"/>
    <s v="Sara Lee "/>
    <x v="0"/>
    <s v="United States"/>
    <s v="Houston"/>
    <x v="2"/>
    <x v="1"/>
    <s v="Storage"/>
    <x v="259"/>
    <x v="388"/>
    <n v="4"/>
    <n v="0.2"/>
    <n v="-59.28"/>
    <n v="185.67250000000001"/>
    <n v="7"/>
    <n v="-7.9817959040784175E-2"/>
  </r>
  <r>
    <s v="ORD-1389 "/>
    <x v="0"/>
    <d v="2023-11-03T00:00:00"/>
    <s v="Mohamed Ali"/>
    <x v="2"/>
    <s v="United States "/>
    <s v="Seattle"/>
    <x v="2"/>
    <x v="1"/>
    <s v="Storage"/>
    <x v="260"/>
    <x v="389"/>
    <n v="4"/>
    <n v="0.1"/>
    <n v="-37.64"/>
    <n v="206.79499999999999"/>
    <n v="45233"/>
    <n v="-4.5504001547426197E-2"/>
  </r>
  <r>
    <s v="ORD-1390 "/>
    <x v="185"/>
    <d v="2022-03-20T00:00:00"/>
    <s v="Sara Lee "/>
    <x v="2"/>
    <s v="United States "/>
    <s v="Seattle"/>
    <x v="3"/>
    <x v="1"/>
    <s v="Storage"/>
    <x v="261"/>
    <x v="390"/>
    <n v="6"/>
    <n v="0.1"/>
    <n v="26.12"/>
    <n v="26.616700000000002"/>
    <n v="9"/>
    <n v="0.16355666875391361"/>
  </r>
  <r>
    <s v="ORD-1391 "/>
    <x v="270"/>
    <d v="2024-03-12T00:00:00"/>
    <s v="Mohamed Ali"/>
    <x v="0"/>
    <s v="United States "/>
    <s v="Los Angeles"/>
    <x v="0"/>
    <x v="0"/>
    <s v="Chairs"/>
    <x v="262"/>
    <x v="391"/>
    <n v="10"/>
    <n v="0"/>
    <n v="-15.84"/>
    <n v="23.8"/>
    <n v="-144"/>
    <n v="-6.655462184873949E-2"/>
  </r>
  <r>
    <s v="ORD-1392 "/>
    <x v="228"/>
    <d v="2022-03-31T00:00:00"/>
    <s v="Sara Lee "/>
    <x v="1"/>
    <s v="United States "/>
    <s v="Los Angeles"/>
    <x v="2"/>
    <x v="0"/>
    <s v="Bookcases"/>
    <x v="97"/>
    <x v="392"/>
    <n v="8"/>
    <n v="0.15"/>
    <n v="-110"/>
    <n v="127.30500000000001"/>
    <n v="8"/>
    <n v="-0.10800832646007619"/>
  </r>
  <r>
    <s v="ORD-1393 "/>
    <x v="120"/>
    <d v="2023-02-24T00:00:00"/>
    <s v="Mohamed Ali "/>
    <x v="0"/>
    <s v="United States"/>
    <s v="Miami"/>
    <x v="1"/>
    <x v="2"/>
    <s v="Accessories"/>
    <x v="232"/>
    <x v="393"/>
    <n v="4"/>
    <n v="0.1"/>
    <n v="-47.18"/>
    <n v="70.652500000000003"/>
    <n v="1"/>
    <n v="-0.1669438448745621"/>
  </r>
  <r>
    <s v="ORD-1394 "/>
    <x v="0"/>
    <d v="2023-03-21T00:00:00"/>
    <s v="Mohamed Ali  "/>
    <x v="0"/>
    <s v="United States"/>
    <s v="Phoenix"/>
    <x v="0"/>
    <x v="0"/>
    <s v="Bookcases"/>
    <x v="212"/>
    <x v="394"/>
    <n v="7"/>
    <n v="0.15"/>
    <n v="-2.6"/>
    <n v="126.8129"/>
    <n v="45006"/>
    <n v="-2.9289504218815124E-3"/>
  </r>
  <r>
    <s v="ORD-1395 "/>
    <x v="0"/>
    <d v="2023-04-14T00:00:00"/>
    <s v="John Smith"/>
    <x v="2"/>
    <s v="United States "/>
    <s v="Houston"/>
    <x v="3"/>
    <x v="0"/>
    <s v="Bookcases"/>
    <x v="74"/>
    <x v="395"/>
    <n v="1"/>
    <n v="0"/>
    <n v="-4.13"/>
    <n v="654.69000000000005"/>
    <n v="45030"/>
    <n v="-6.3083291328720455E-3"/>
  </r>
  <r>
    <s v="ORD-1396 "/>
    <x v="271"/>
    <d v="2024-05-02T00:00:00"/>
    <s v="Sara Lee  "/>
    <x v="2"/>
    <s v="United States"/>
    <s v="Seattle"/>
    <x v="0"/>
    <x v="2"/>
    <s v="Phones"/>
    <x v="24"/>
    <x v="396"/>
    <n v="10"/>
    <n v="0"/>
    <n v="75.17"/>
    <n v="51.850999999999999"/>
    <n v="5"/>
    <n v="0.14497309598657693"/>
  </r>
  <r>
    <s v="ORD-1397 "/>
    <x v="8"/>
    <d v="2024-03-18T00:00:00"/>
    <s v="Sara Lee  "/>
    <x v="0"/>
    <s v="United States "/>
    <s v="Houston"/>
    <x v="0"/>
    <x v="1"/>
    <s v="Storage"/>
    <x v="133"/>
    <x v="397"/>
    <n v="7"/>
    <n v="0.15"/>
    <n v="4.57"/>
    <n v="25.665700000000001"/>
    <n v="10"/>
    <n v="2.543693643548926E-2"/>
  </r>
  <r>
    <s v="ORD-1398 "/>
    <x v="272"/>
    <d v="2022-12-01T00:00:00"/>
    <s v="Mohamed Ali  "/>
    <x v="2"/>
    <s v="United States "/>
    <s v="Houston"/>
    <x v="1"/>
    <x v="1"/>
    <s v="Storage"/>
    <x v="263"/>
    <x v="398"/>
    <n v="2"/>
    <n v="0.2"/>
    <n v="19.399999999999999"/>
    <n v="82.89"/>
    <n v="3"/>
    <n v="0.11702256001930268"/>
  </r>
  <r>
    <s v="ORD-1399 "/>
    <x v="273"/>
    <d v="2024-02-29T00:00:00"/>
    <s v="John Smith "/>
    <x v="2"/>
    <s v="United States"/>
    <s v="Seattle"/>
    <x v="1"/>
    <x v="2"/>
    <s v="Copiers"/>
    <x v="88"/>
    <x v="399"/>
    <n v="3"/>
    <n v="0.1"/>
    <n v="245.69"/>
    <n v="349.38"/>
    <n v="3"/>
    <n v="0.23440570916098991"/>
  </r>
  <r>
    <s v="ORD-1400 "/>
    <x v="59"/>
    <d v="2023-10-07T00:00:00"/>
    <s v="Sara Lee "/>
    <x v="2"/>
    <s v="United States"/>
    <s v="Phoenix"/>
    <x v="1"/>
    <x v="0"/>
    <s v="Chairs"/>
    <x v="13"/>
    <x v="400"/>
    <n v="1"/>
    <n v="0"/>
    <n v="210.71"/>
    <n v="1153.31"/>
    <n v="3"/>
    <n v="0.18270022803929561"/>
  </r>
  <r>
    <s v="ORD-1401 "/>
    <x v="274"/>
    <d v="2022-08-21T00:00:00"/>
    <s v="Alice Brown  "/>
    <x v="2"/>
    <s v="United States "/>
    <s v="New York"/>
    <x v="2"/>
    <x v="1"/>
    <s v="Paper"/>
    <x v="264"/>
    <x v="401"/>
    <n v="8"/>
    <n v="0"/>
    <n v="55.88"/>
    <n v="69.426199999999994"/>
    <n v="10"/>
    <n v="0.10061035991429755"/>
  </r>
  <r>
    <s v="ORD-1402 "/>
    <x v="275"/>
    <d v="2022-03-04T00:00:00"/>
    <s v="John Smith"/>
    <x v="2"/>
    <s v="United States "/>
    <s v="Los Angeles"/>
    <x v="3"/>
    <x v="0"/>
    <s v="Chairs"/>
    <x v="208"/>
    <x v="402"/>
    <n v="10"/>
    <n v="0"/>
    <n v="-52.18"/>
    <n v="102.752"/>
    <n v="6"/>
    <n v="-5.078246652133292E-2"/>
  </r>
  <r>
    <s v="ORD-1403 "/>
    <x v="276"/>
    <d v="2023-11-18T00:00:00"/>
    <s v="John Smith "/>
    <x v="2"/>
    <s v="United States"/>
    <s v="Houston"/>
    <x v="0"/>
    <x v="1"/>
    <s v="Storage"/>
    <x v="265"/>
    <x v="403"/>
    <n v="8"/>
    <n v="0"/>
    <n v="-4.57"/>
    <n v="28.668700000000001"/>
    <n v="10"/>
    <n v="-1.9925877479834316E-2"/>
  </r>
  <r>
    <s v="ORD-1404 "/>
    <x v="277"/>
    <d v="2023-03-23T00:00:00"/>
    <s v="Mohamed Ali"/>
    <x v="0"/>
    <s v="United States "/>
    <s v="Phoenix"/>
    <x v="0"/>
    <x v="0"/>
    <s v="Tables"/>
    <x v="205"/>
    <x v="404"/>
    <n v="2"/>
    <n v="0.15"/>
    <n v="-20.37"/>
    <n v="287.77999999999997"/>
    <n v="9"/>
    <n v="-3.5391618597539795E-2"/>
  </r>
  <r>
    <s v="ORD-1405 "/>
    <x v="278"/>
    <d v="2023-08-18T00:00:00"/>
    <s v="Rahul Kumar  "/>
    <x v="0"/>
    <s v="United States"/>
    <s v="Los Angeles"/>
    <x v="1"/>
    <x v="0"/>
    <s v="Tables"/>
    <x v="84"/>
    <x v="405"/>
    <n v="10"/>
    <n v="0.15"/>
    <n v="11.83"/>
    <n v="87.441000000000003"/>
    <n v="9"/>
    <n v="1.3529122494024543E-2"/>
  </r>
  <r>
    <s v="ORD-1406 "/>
    <x v="4"/>
    <d v="2024-01-25T00:00:00"/>
    <s v="John Smith"/>
    <x v="2"/>
    <s v="United States"/>
    <s v="Seattle"/>
    <x v="2"/>
    <x v="2"/>
    <s v="Phones"/>
    <x v="28"/>
    <x v="406"/>
    <n v="4"/>
    <n v="0.15"/>
    <n v="307.79000000000002"/>
    <n v="265.68"/>
    <n v="8"/>
    <n v="0.28962473652514303"/>
  </r>
  <r>
    <s v="ORD-1407 "/>
    <x v="196"/>
    <d v="2023-03-08T00:00:00"/>
    <s v="Rahul Kumar "/>
    <x v="1"/>
    <s v="United States"/>
    <s v="Chicago"/>
    <x v="3"/>
    <x v="0"/>
    <s v="Tables"/>
    <x v="100"/>
    <x v="407"/>
    <n v="4"/>
    <n v="0"/>
    <n v="52.04"/>
    <n v="108.14749999999999"/>
    <n v="64"/>
    <n v="0.12029866617351304"/>
  </r>
  <r>
    <s v="ORD-1408 "/>
    <x v="279"/>
    <d v="2022-01-09T00:00:00"/>
    <s v="Alice Brown "/>
    <x v="2"/>
    <s v="United States "/>
    <s v="Houston"/>
    <x v="0"/>
    <x v="1"/>
    <s v="Paper"/>
    <x v="44"/>
    <x v="408"/>
    <n v="10"/>
    <n v="0"/>
    <n v="118.41"/>
    <n v="42.280999999999999"/>
    <n v="2"/>
    <n v="0.28005487098223786"/>
  </r>
  <r>
    <s v="ORD-1409 "/>
    <x v="280"/>
    <d v="2022-05-28T00:00:00"/>
    <s v="John Smith  "/>
    <x v="2"/>
    <s v="United States"/>
    <s v="Phoenix"/>
    <x v="0"/>
    <x v="0"/>
    <s v="Bookcases"/>
    <x v="266"/>
    <x v="409"/>
    <n v="9"/>
    <n v="0.15"/>
    <n v="17.600000000000001"/>
    <n v="62.614400000000003"/>
    <n v="8"/>
    <n v="3.1231700175678317E-2"/>
  </r>
  <r>
    <s v="ORD-1410 "/>
    <x v="281"/>
    <d v="2023-08-21T00:00:00"/>
    <s v="Mohamed Ali"/>
    <x v="0"/>
    <s v="United States "/>
    <s v="Los Angeles"/>
    <x v="0"/>
    <x v="2"/>
    <s v="Phones"/>
    <x v="136"/>
    <x v="410"/>
    <n v="5"/>
    <n v="0"/>
    <n v="-35.42"/>
    <n v="232.828"/>
    <n v="6"/>
    <n v="-3.0425893792842783E-2"/>
  </r>
  <r>
    <s v="ORD-1411 "/>
    <x v="282"/>
    <d v="2022-11-18T00:00:00"/>
    <s v="Sara Lee "/>
    <x v="1"/>
    <s v="United States"/>
    <s v="Los Angeles"/>
    <x v="0"/>
    <x v="1"/>
    <s v="Binders"/>
    <x v="41"/>
    <x v="411"/>
    <n v="2"/>
    <n v="0.2"/>
    <n v="81.19"/>
    <n v="170.185"/>
    <n v="6"/>
    <n v="0.23853453594617621"/>
  </r>
  <r>
    <s v="ORD-1412 "/>
    <x v="11"/>
    <d v="2024-03-15T00:00:00"/>
    <s v="Alice Brown "/>
    <x v="2"/>
    <s v="United States"/>
    <s v="Miami"/>
    <x v="3"/>
    <x v="0"/>
    <s v="Chairs"/>
    <x v="267"/>
    <x v="412"/>
    <n v="1"/>
    <n v="0.2"/>
    <n v="137.26"/>
    <n v="543.65"/>
    <n v="1"/>
    <n v="0.25247861675710476"/>
  </r>
  <r>
    <s v="ORD-1413 "/>
    <x v="0"/>
    <d v="2024-02-29T00:00:00"/>
    <s v="Mohamed Ali"/>
    <x v="1"/>
    <s v="United States"/>
    <s v="New York"/>
    <x v="0"/>
    <x v="1"/>
    <s v="Storage"/>
    <x v="1"/>
    <x v="413"/>
    <n v="4"/>
    <n v="0"/>
    <n v="35.369999999999997"/>
    <n v="297.85250000000002"/>
    <n v="45351"/>
    <n v="2.9687513114712814E-2"/>
  </r>
  <r>
    <s v="ORD-1414 "/>
    <x v="283"/>
    <d v="2023-04-25T00:00:00"/>
    <s v="Alice Brown "/>
    <x v="1"/>
    <s v="United States "/>
    <s v="Chicago"/>
    <x v="3"/>
    <x v="0"/>
    <s v="Bookcases"/>
    <x v="268"/>
    <x v="414"/>
    <n v="5"/>
    <n v="0"/>
    <n v="82.04"/>
    <n v="184.81800000000001"/>
    <n v="1"/>
    <n v="8.8779231460139163E-2"/>
  </r>
  <r>
    <s v="ORD-1415 "/>
    <x v="0"/>
    <d v="2022-12-01T00:00:00"/>
    <s v="Mohamed Ali  "/>
    <x v="1"/>
    <s v="United States "/>
    <s v="Phoenix"/>
    <x v="3"/>
    <x v="1"/>
    <s v="Binders"/>
    <x v="225"/>
    <x v="415"/>
    <n v="3"/>
    <n v="0.15"/>
    <n v="-48.79"/>
    <n v="113.91"/>
    <n v="44896"/>
    <n v="-0.14277353466186754"/>
  </r>
  <r>
    <s v="ORD-1416 "/>
    <x v="284"/>
    <d v="2022-11-28T00:00:00"/>
    <s v="Mohamed Ali "/>
    <x v="0"/>
    <s v="United States "/>
    <s v="New York"/>
    <x v="2"/>
    <x v="0"/>
    <s v="Bookcases"/>
    <x v="236"/>
    <x v="416"/>
    <n v="10"/>
    <n v="0.1"/>
    <n v="-110.79"/>
    <n v="96.872"/>
    <n v="5"/>
    <n v="-0.11436741266826328"/>
  </r>
  <r>
    <s v="ORD-1417 "/>
    <x v="0"/>
    <d v="2023-04-29T00:00:00"/>
    <s v="Mohamed Ali  "/>
    <x v="0"/>
    <s v="United States "/>
    <s v="Phoenix"/>
    <x v="3"/>
    <x v="0"/>
    <s v="Tables"/>
    <x v="39"/>
    <x v="417"/>
    <n v="7"/>
    <n v="0.2"/>
    <n v="-9.23"/>
    <n v="11.925700000000001"/>
    <n v="45045"/>
    <n v="-0.11056540488739817"/>
  </r>
  <r>
    <s v="ORD-1418 "/>
    <x v="48"/>
    <d v="2022-12-11T00:00:00"/>
    <s v="Sara Lee"/>
    <x v="2"/>
    <s v="United States"/>
    <s v="Seattle"/>
    <x v="1"/>
    <x v="1"/>
    <s v="Storage"/>
    <x v="146"/>
    <x v="418"/>
    <n v="2"/>
    <n v="0.2"/>
    <n v="81.790000000000006"/>
    <n v="487.48500000000001"/>
    <n v="4"/>
    <n v="8.3889760710585973E-2"/>
  </r>
  <r>
    <s v="ORD-1419 "/>
    <x v="0"/>
    <d v="2022-08-30T00:00:00"/>
    <s v="Rahul Kumar "/>
    <x v="2"/>
    <s v="United States "/>
    <s v="New York"/>
    <x v="0"/>
    <x v="0"/>
    <s v="Bookcases"/>
    <x v="222"/>
    <x v="419"/>
    <n v="6"/>
    <n v="0.2"/>
    <n v="-35.15"/>
    <n v="54.083300000000001"/>
    <n v="44803"/>
    <n v="-0.10832049306625577"/>
  </r>
  <r>
    <s v="ORD-1420 "/>
    <x v="285"/>
    <d v="2022-05-02T00:00:00"/>
    <s v="Mohamed Ali"/>
    <x v="2"/>
    <s v="United States"/>
    <s v="Chicago"/>
    <x v="0"/>
    <x v="2"/>
    <s v="Accessories"/>
    <x v="269"/>
    <x v="420"/>
    <n v="5"/>
    <n v="0.15"/>
    <n v="104.06"/>
    <n v="203.6"/>
    <n v="6"/>
    <n v="0.10222003929273085"/>
  </r>
  <r>
    <s v="ORD-1421 "/>
    <x v="286"/>
    <d v="2023-07-08T00:00:00"/>
    <s v="Sara Lee"/>
    <x v="2"/>
    <s v="United States "/>
    <s v="Miami"/>
    <x v="1"/>
    <x v="2"/>
    <s v="Copiers"/>
    <x v="270"/>
    <x v="421"/>
    <n v="10"/>
    <n v="0.1"/>
    <n v="37.57"/>
    <n v="50.786000000000001"/>
    <n v="8"/>
    <n v="7.3977080297719849E-2"/>
  </r>
  <r>
    <s v="ORD-1422 "/>
    <x v="5"/>
    <d v="2023-08-10T00:00:00"/>
    <s v="Mohamed Ali  "/>
    <x v="2"/>
    <s v="United States"/>
    <s v="Phoenix"/>
    <x v="0"/>
    <x v="1"/>
    <s v="Storage"/>
    <x v="30"/>
    <x v="422"/>
    <n v="2"/>
    <n v="0"/>
    <n v="65.22"/>
    <n v="149.33000000000001"/>
    <n v="6"/>
    <n v="0.21837541016540546"/>
  </r>
  <r>
    <s v="ORD-1423 "/>
    <x v="0"/>
    <d v="2022-07-05T00:00:00"/>
    <s v="John Smith"/>
    <x v="1"/>
    <s v="United States "/>
    <s v="Phoenix"/>
    <x v="0"/>
    <x v="2"/>
    <s v="Phones"/>
    <x v="136"/>
    <x v="423"/>
    <n v="10"/>
    <n v="0.2"/>
    <n v="-26.35"/>
    <n v="72.594999999999999"/>
    <n v="44747"/>
    <n v="-3.6297265651904401E-2"/>
  </r>
  <r>
    <s v="ORD-1424 "/>
    <x v="287"/>
    <d v="2022-06-03T00:00:00"/>
    <s v="Rahul Kumar "/>
    <x v="0"/>
    <s v="United States"/>
    <s v="Houston"/>
    <x v="3"/>
    <x v="2"/>
    <s v="Copiers"/>
    <x v="271"/>
    <x v="424"/>
    <n v="10"/>
    <n v="0"/>
    <n v="8.58"/>
    <n v="36.396999999999998"/>
    <n v="3"/>
    <n v="2.3573371431711402E-2"/>
  </r>
  <r>
    <s v="ORD-1425 "/>
    <x v="0"/>
    <d v="2023-08-21T00:00:00"/>
    <s v="John Smith"/>
    <x v="0"/>
    <s v="United States"/>
    <s v="New York"/>
    <x v="3"/>
    <x v="1"/>
    <s v="Storage"/>
    <x v="183"/>
    <x v="425"/>
    <n v="3"/>
    <n v="0.15"/>
    <n v="-83.88"/>
    <n v="165.65"/>
    <n v="45159"/>
    <n v="-0.16878961666163597"/>
  </r>
  <r>
    <s v="ORD-1426 "/>
    <x v="204"/>
    <d v="2022-09-05T00:00:00"/>
    <s v="Mohamed Ali"/>
    <x v="0"/>
    <s v="United States "/>
    <s v="Houston"/>
    <x v="2"/>
    <x v="1"/>
    <s v="Storage"/>
    <x v="272"/>
    <x v="426"/>
    <n v="6"/>
    <n v="0.2"/>
    <n v="1.46"/>
    <n v="80.8733"/>
    <n v="7"/>
    <n v="3.008820377545132E-3"/>
  </r>
  <r>
    <s v="ORD-1427 "/>
    <x v="0"/>
    <d v="2023-07-30T00:00:00"/>
    <s v="John Smith"/>
    <x v="0"/>
    <s v="United States "/>
    <s v="Seattle"/>
    <x v="1"/>
    <x v="2"/>
    <s v="Accessories"/>
    <x v="273"/>
    <x v="427"/>
    <n v="3"/>
    <n v="0.1"/>
    <n v="-39.24"/>
    <n v="67.346699999999998"/>
    <n v="45137"/>
    <n v="-0.19421896654127896"/>
  </r>
  <r>
    <s v="ORD-1428 "/>
    <x v="288"/>
    <d v="2022-03-31T00:00:00"/>
    <s v="Mohamed Ali "/>
    <x v="0"/>
    <s v="United States "/>
    <s v="Houston"/>
    <x v="3"/>
    <x v="1"/>
    <s v="Paper"/>
    <x v="31"/>
    <x v="428"/>
    <n v="10"/>
    <n v="0.2"/>
    <n v="115.53"/>
    <n v="103.498"/>
    <n v="3"/>
    <n v="0.11162534541730275"/>
  </r>
  <r>
    <s v="ORD-1429 "/>
    <x v="93"/>
    <d v="2022-07-17T00:00:00"/>
    <s v="Mohamed Ali "/>
    <x v="1"/>
    <s v="United States"/>
    <s v="Phoenix"/>
    <x v="1"/>
    <x v="1"/>
    <s v="Binders"/>
    <x v="274"/>
    <x v="429"/>
    <n v="4"/>
    <n v="0"/>
    <n v="-45.89"/>
    <n v="175.49250000000001"/>
    <n v="-82"/>
    <n v="-6.5373164095331712E-2"/>
  </r>
  <r>
    <s v="ORD-1430 "/>
    <x v="0"/>
    <d v="2023-01-15T00:00:00"/>
    <s v="Rahul Kumar "/>
    <x v="0"/>
    <s v="United States"/>
    <s v="Phoenix"/>
    <x v="0"/>
    <x v="1"/>
    <s v="Paper"/>
    <x v="275"/>
    <x v="430"/>
    <n v="2"/>
    <n v="0.1"/>
    <n v="190.66"/>
    <n v="577.42499999999995"/>
    <n v="44941"/>
    <n v="0.16509503398709791"/>
  </r>
  <r>
    <s v="ORD-1431 "/>
    <x v="289"/>
    <d v="2023-05-01T00:00:00"/>
    <s v="Mohamed Ali"/>
    <x v="2"/>
    <s v="United States "/>
    <s v="Phoenix"/>
    <x v="1"/>
    <x v="1"/>
    <s v="Storage"/>
    <x v="192"/>
    <x v="431"/>
    <n v="10"/>
    <n v="0.15"/>
    <n v="69.900000000000006"/>
    <n v="65.625"/>
    <n v="2"/>
    <n v="0.10651428571428573"/>
  </r>
  <r>
    <s v="ORD-1432 "/>
    <x v="0"/>
    <d v="2024-01-28T00:00:00"/>
    <s v="Mohamed Ali  "/>
    <x v="2"/>
    <s v="United States"/>
    <s v="New York"/>
    <x v="1"/>
    <x v="2"/>
    <s v="Accessories"/>
    <x v="199"/>
    <x v="432"/>
    <n v="5"/>
    <n v="0.15"/>
    <n v="-134.09"/>
    <n v="230.69800000000001"/>
    <n v="45319"/>
    <n v="-0.11624721497368855"/>
  </r>
  <r>
    <s v="ORD-1433 "/>
    <x v="290"/>
    <d v="2022-07-03T00:00:00"/>
    <s v="Alice Brown  "/>
    <x v="1"/>
    <s v="United States"/>
    <s v="Chicago"/>
    <x v="2"/>
    <x v="0"/>
    <s v="Bookcases"/>
    <x v="116"/>
    <x v="433"/>
    <n v="10"/>
    <n v="0"/>
    <n v="-67.27"/>
    <n v="118.863"/>
    <n v="10"/>
    <n v="-5.6594566854277606E-2"/>
  </r>
  <r>
    <s v="ORD-1434 "/>
    <x v="0"/>
    <d v="2022-10-20T00:00:00"/>
    <s v="Alice Brown  "/>
    <x v="2"/>
    <s v="United States"/>
    <s v="Miami"/>
    <x v="2"/>
    <x v="2"/>
    <s v="Phones"/>
    <x v="276"/>
    <x v="434"/>
    <n v="10"/>
    <n v="0.1"/>
    <n v="228.26"/>
    <n v="89.489000000000004"/>
    <n v="44854"/>
    <n v="0.25507045558672015"/>
  </r>
  <r>
    <s v="ORD-1435 "/>
    <x v="291"/>
    <d v="2024-03-16T00:00:00"/>
    <s v="Mohamed Ali"/>
    <x v="2"/>
    <s v="United States "/>
    <s v="Miami"/>
    <x v="1"/>
    <x v="2"/>
    <s v="Phones"/>
    <x v="277"/>
    <x v="435"/>
    <n v="1"/>
    <n v="0.15"/>
    <n v="281.31"/>
    <n v="963.26"/>
    <n v="4"/>
    <n v="0.29203953242115316"/>
  </r>
  <r>
    <s v="ORD-1436 "/>
    <x v="276"/>
    <d v="2023-11-16T00:00:00"/>
    <s v="John Smith"/>
    <x v="1"/>
    <s v="United States "/>
    <s v="Houston"/>
    <x v="1"/>
    <x v="1"/>
    <s v="Storage"/>
    <x v="129"/>
    <x v="436"/>
    <n v="10"/>
    <n v="0.15"/>
    <n v="-37.57"/>
    <n v="21.739000000000001"/>
    <n v="8"/>
    <n v="-0.17282303693822165"/>
  </r>
  <r>
    <s v="ORD-1437 "/>
    <x v="292"/>
    <d v="2023-05-12T00:00:00"/>
    <s v="Sara Lee"/>
    <x v="2"/>
    <s v="United States "/>
    <s v="Houston"/>
    <x v="3"/>
    <x v="0"/>
    <s v="Tables"/>
    <x v="84"/>
    <x v="437"/>
    <n v="7"/>
    <n v="0.2"/>
    <n v="-56.77"/>
    <n v="118.0771"/>
    <n v="68"/>
    <n v="-6.8683911244464879E-2"/>
  </r>
  <r>
    <s v="ORD-1438 "/>
    <x v="293"/>
    <d v="2023-12-02T00:00:00"/>
    <s v="Rahul Kumar "/>
    <x v="2"/>
    <s v="United States"/>
    <s v="Chicago"/>
    <x v="1"/>
    <x v="0"/>
    <s v="Bookcases"/>
    <x v="25"/>
    <x v="438"/>
    <n v="7"/>
    <n v="0"/>
    <n v="200.01"/>
    <n v="110.3086"/>
    <n v="1"/>
    <n v="0.25902662660588477"/>
  </r>
  <r>
    <s v="ORD-1439 "/>
    <x v="47"/>
    <d v="2024-03-06T00:00:00"/>
    <s v="Alice Brown "/>
    <x v="0"/>
    <s v="United States"/>
    <s v="Seattle"/>
    <x v="0"/>
    <x v="1"/>
    <s v="Storage"/>
    <x v="278"/>
    <x v="439"/>
    <n v="4"/>
    <n v="0"/>
    <n v="-22.37"/>
    <n v="178.67250000000001"/>
    <n v="32"/>
    <n v="-3.1300284039233794E-2"/>
  </r>
  <r>
    <s v="ORD-1440 "/>
    <x v="138"/>
    <d v="2022-01-20T00:00:00"/>
    <s v="Rahul Kumar"/>
    <x v="1"/>
    <s v="United States"/>
    <s v="Phoenix"/>
    <x v="0"/>
    <x v="0"/>
    <s v="Bookcases"/>
    <x v="162"/>
    <x v="440"/>
    <n v="8"/>
    <n v="0.15"/>
    <n v="-12.88"/>
    <n v="17.8263"/>
    <n v="7"/>
    <n v="-9.0316247107495959E-2"/>
  </r>
  <r>
    <s v="ORD-1441 "/>
    <x v="141"/>
    <d v="2023-09-05T00:00:00"/>
    <s v="Sara Lee  "/>
    <x v="0"/>
    <s v="United States "/>
    <s v="New York"/>
    <x v="2"/>
    <x v="1"/>
    <s v="Storage"/>
    <x v="133"/>
    <x v="441"/>
    <n v="2"/>
    <n v="0"/>
    <n v="37.36"/>
    <n v="81.855000000000004"/>
    <n v="4"/>
    <n v="0.22820841732331559"/>
  </r>
  <r>
    <s v="ORD-1442 "/>
    <x v="0"/>
    <d v="2022-11-06T00:00:00"/>
    <s v="Rahul Kumar "/>
    <x v="1"/>
    <s v="United States"/>
    <s v="Chicago"/>
    <x v="0"/>
    <x v="1"/>
    <s v="Binders"/>
    <x v="243"/>
    <x v="442"/>
    <n v="5"/>
    <n v="0.2"/>
    <n v="113.05"/>
    <n v="154.75200000000001"/>
    <n v="44871"/>
    <n v="0.14610473531844501"/>
  </r>
  <r>
    <s v="ORD-1443 "/>
    <x v="187"/>
    <d v="2023-02-08T00:00:00"/>
    <s v="Alice Brown  "/>
    <x v="2"/>
    <s v="United States "/>
    <s v="Seattle"/>
    <x v="1"/>
    <x v="0"/>
    <s v="Tables"/>
    <x v="205"/>
    <x v="443"/>
    <n v="5"/>
    <n v="0.1"/>
    <n v="23.28"/>
    <n v="229.52199999999999"/>
    <n v="6"/>
    <n v="2.0285637106682585E-2"/>
  </r>
  <r>
    <s v="ORD-1444 "/>
    <x v="294"/>
    <d v="2022-06-06T00:00:00"/>
    <s v="John Smith"/>
    <x v="1"/>
    <s v="United States"/>
    <s v="Miami"/>
    <x v="1"/>
    <x v="2"/>
    <s v="Phones"/>
    <x v="279"/>
    <x v="444"/>
    <n v="2"/>
    <n v="0.2"/>
    <n v="117.4"/>
    <n v="372.24"/>
    <n v="9"/>
    <n v="0.15769396088545026"/>
  </r>
  <r>
    <s v="ORD-1445 "/>
    <x v="0"/>
    <d v="2023-05-28T00:00:00"/>
    <s v="Rahul Kumar "/>
    <x v="0"/>
    <s v="United States"/>
    <s v="Phoenix"/>
    <x v="1"/>
    <x v="1"/>
    <s v="Storage"/>
    <x v="146"/>
    <x v="445"/>
    <n v="1"/>
    <n v="0.2"/>
    <n v="-1.4"/>
    <n v="21.02"/>
    <n v="45074"/>
    <n v="-6.6603235014272122E-2"/>
  </r>
  <r>
    <s v="ORD-1446 "/>
    <x v="42"/>
    <d v="2023-03-30T00:00:00"/>
    <s v="John Smith  "/>
    <x v="0"/>
    <s v="United States"/>
    <s v="Chicago"/>
    <x v="3"/>
    <x v="1"/>
    <s v="Binders"/>
    <x v="75"/>
    <x v="446"/>
    <n v="1"/>
    <n v="0.2"/>
    <n v="182.14"/>
    <n v="657.35"/>
    <n v="7"/>
    <n v="0.27708222408153949"/>
  </r>
  <r>
    <s v="ORD-1447 "/>
    <x v="275"/>
    <d v="2022-02-28T00:00:00"/>
    <s v="Alice Brown"/>
    <x v="0"/>
    <s v="United States"/>
    <s v="Houston"/>
    <x v="2"/>
    <x v="2"/>
    <s v="Copiers"/>
    <x v="247"/>
    <x v="447"/>
    <n v="6"/>
    <n v="0"/>
    <n v="226.53"/>
    <n v="171.1567"/>
    <n v="2"/>
    <n v="0.22058737608818429"/>
  </r>
  <r>
    <s v="ORD-1448 "/>
    <x v="295"/>
    <d v="2023-12-21T00:00:00"/>
    <s v="Alice Brown"/>
    <x v="1"/>
    <s v="United States "/>
    <s v="New York"/>
    <x v="2"/>
    <x v="0"/>
    <s v="Bookcases"/>
    <x v="211"/>
    <x v="448"/>
    <n v="8"/>
    <n v="0"/>
    <n v="202.05"/>
    <n v="104.10380000000001"/>
    <n v="7"/>
    <n v="0.24260653434674542"/>
  </r>
  <r>
    <s v="ORD-1449 "/>
    <x v="66"/>
    <d v="2023-02-05T00:00:00"/>
    <s v="John Smith "/>
    <x v="1"/>
    <s v="United States"/>
    <s v="Miami"/>
    <x v="0"/>
    <x v="1"/>
    <s v="Storage"/>
    <x v="203"/>
    <x v="449"/>
    <n v="9"/>
    <n v="0.2"/>
    <n v="108.53"/>
    <n v="42.568899999999999"/>
    <n v="2"/>
    <n v="0.28327939026936733"/>
  </r>
  <r>
    <s v="ORD-1450 "/>
    <x v="296"/>
    <d v="2022-05-06T00:00:00"/>
    <s v="John Smith"/>
    <x v="0"/>
    <s v="United States "/>
    <s v="Houston"/>
    <x v="0"/>
    <x v="1"/>
    <s v="Storage"/>
    <x v="146"/>
    <x v="450"/>
    <n v="9"/>
    <n v="0.1"/>
    <n v="108.67"/>
    <n v="70.808899999999994"/>
    <n v="4"/>
    <n v="0.17052159176500126"/>
  </r>
  <r>
    <s v="ORD-1451 "/>
    <x v="297"/>
    <d v="2023-09-27T00:00:00"/>
    <s v="John Smith "/>
    <x v="0"/>
    <s v="United States "/>
    <s v="Miami"/>
    <x v="0"/>
    <x v="0"/>
    <s v="Bookcases"/>
    <x v="280"/>
    <x v="451"/>
    <n v="1"/>
    <n v="0.1"/>
    <n v="91.39"/>
    <n v="785.57"/>
    <n v="1"/>
    <n v="0.11633590895782679"/>
  </r>
  <r>
    <s v="ORD-1452 "/>
    <x v="0"/>
    <d v="2022-05-05T00:00:00"/>
    <s v="Sara Lee "/>
    <x v="1"/>
    <s v="United States "/>
    <s v="Chicago"/>
    <x v="2"/>
    <x v="1"/>
    <s v="Storage"/>
    <x v="265"/>
    <x v="452"/>
    <n v="4"/>
    <n v="0.2"/>
    <n v="-8.7799999999999994"/>
    <n v="70.069999999999993"/>
    <n v="44686"/>
    <n v="-3.1325817040102753E-2"/>
  </r>
  <r>
    <s v="ORD-1453 "/>
    <x v="100"/>
    <d v="2022-02-26T00:00:00"/>
    <s v="Rahul Kumar  "/>
    <x v="1"/>
    <s v="United States "/>
    <s v="Los Angeles"/>
    <x v="0"/>
    <x v="0"/>
    <s v="Tables"/>
    <x v="281"/>
    <x v="453"/>
    <n v="5"/>
    <n v="0.1"/>
    <n v="16.91"/>
    <n v="18.920000000000002"/>
    <n v="10"/>
    <n v="0.17875264270613109"/>
  </r>
  <r>
    <s v="ORD-1454 "/>
    <x v="298"/>
    <d v="2022-04-23T00:00:00"/>
    <s v="John Smith  "/>
    <x v="0"/>
    <s v="United States"/>
    <s v="Houston"/>
    <x v="1"/>
    <x v="2"/>
    <s v="Phones"/>
    <x v="282"/>
    <x v="454"/>
    <n v="8"/>
    <n v="0"/>
    <n v="-7.57"/>
    <n v="4.8049999999999997"/>
    <n v="10"/>
    <n v="-0.19693028095733614"/>
  </r>
  <r>
    <s v="ORD-1455 "/>
    <x v="299"/>
    <d v="2022-05-14T00:00:00"/>
    <s v="Mohamed Ali  "/>
    <x v="1"/>
    <s v="United States "/>
    <s v="Seattle"/>
    <x v="1"/>
    <x v="0"/>
    <s v="Bookcases"/>
    <x v="116"/>
    <x v="455"/>
    <n v="8"/>
    <n v="0.2"/>
    <n v="-27.3"/>
    <n v="42.465000000000003"/>
    <n v="4"/>
    <n v="-8.0360296714941715E-2"/>
  </r>
  <r>
    <s v="ORD-1456 "/>
    <x v="300"/>
    <d v="2022-04-06T00:00:00"/>
    <s v="John Smith  "/>
    <x v="2"/>
    <s v="United States "/>
    <s v="Houston"/>
    <x v="2"/>
    <x v="2"/>
    <s v="Accessories"/>
    <x v="46"/>
    <x v="456"/>
    <n v="4"/>
    <n v="0.1"/>
    <n v="-3.59"/>
    <n v="6.3475000000000001"/>
    <n v="92"/>
    <n v="-0.14139424970460809"/>
  </r>
  <r>
    <s v="ORD-1457 "/>
    <x v="0"/>
    <d v="2022-02-28T00:00:00"/>
    <s v="John Smith"/>
    <x v="0"/>
    <s v="United States"/>
    <s v="Chicago"/>
    <x v="2"/>
    <x v="0"/>
    <s v="Chairs"/>
    <x v="215"/>
    <x v="457"/>
    <n v="8"/>
    <n v="0.2"/>
    <n v="-92.67"/>
    <n v="103.57380000000001"/>
    <n v="44620"/>
    <n v="-0.11184059667628139"/>
  </r>
  <r>
    <s v="ORD-1458 "/>
    <x v="7"/>
    <d v="2022-09-21T00:00:00"/>
    <s v="Sara Lee  "/>
    <x v="1"/>
    <s v="United States"/>
    <s v="Los Angeles"/>
    <x v="1"/>
    <x v="1"/>
    <s v="Paper"/>
    <x v="144"/>
    <x v="458"/>
    <n v="1"/>
    <n v="0"/>
    <n v="-7.97"/>
    <n v="71.11"/>
    <n v="6"/>
    <n v="-0.11207987624806637"/>
  </r>
  <r>
    <s v="ORD-1459 "/>
    <x v="301"/>
    <d v="2023-08-23T00:00:00"/>
    <s v="Alice Brown"/>
    <x v="1"/>
    <s v="United States "/>
    <s v="Miami"/>
    <x v="2"/>
    <x v="2"/>
    <s v="Phones"/>
    <x v="283"/>
    <x v="459"/>
    <n v="6"/>
    <n v="0.1"/>
    <n v="170.83"/>
    <n v="150.26"/>
    <n v="6"/>
    <n v="0.18948267447535386"/>
  </r>
  <r>
    <s v="ORD-1460 "/>
    <x v="0"/>
    <d v="2022-08-16T00:00:00"/>
    <s v="Sara Lee"/>
    <x v="2"/>
    <s v="United States"/>
    <s v="Los Angeles"/>
    <x v="1"/>
    <x v="2"/>
    <s v="Copiers"/>
    <x v="284"/>
    <x v="460"/>
    <n v="7"/>
    <n v="0.1"/>
    <n v="-54.38"/>
    <n v="84.514300000000006"/>
    <n v="44789"/>
    <n v="-9.1920216362407034E-2"/>
  </r>
  <r>
    <s v="ORD-1461 "/>
    <x v="302"/>
    <d v="2022-07-24T00:00:00"/>
    <s v="John Smith "/>
    <x v="2"/>
    <s v="United States "/>
    <s v="Los Angeles"/>
    <x v="3"/>
    <x v="2"/>
    <s v="Phones"/>
    <x v="197"/>
    <x v="461"/>
    <n v="1"/>
    <n v="0"/>
    <n v="-70.849999999999994"/>
    <n v="416.35"/>
    <n v="6"/>
    <n v="-0.17016932868980422"/>
  </r>
  <r>
    <s v="ORD-1462 "/>
    <x v="174"/>
    <d v="2022-11-09T00:00:00"/>
    <s v="John Smith "/>
    <x v="0"/>
    <s v="United States "/>
    <s v="Miami"/>
    <x v="2"/>
    <x v="0"/>
    <s v="Bookcases"/>
    <x v="285"/>
    <x v="462"/>
    <n v="3"/>
    <n v="0"/>
    <n v="326.19"/>
    <n v="381.42"/>
    <n v="10"/>
    <n v="0.28506633107860102"/>
  </r>
  <r>
    <s v="ORD-1463 "/>
    <x v="0"/>
    <d v="2023-05-08T00:00:00"/>
    <s v="Alice Brown  "/>
    <x v="1"/>
    <s v="United States"/>
    <s v="Houston"/>
    <x v="0"/>
    <x v="2"/>
    <s v="Phones"/>
    <x v="219"/>
    <x v="463"/>
    <n v="4"/>
    <n v="0.1"/>
    <n v="-32.04"/>
    <n v="220.35499999999999"/>
    <n v="45054"/>
    <n v="-3.6350434526105604E-2"/>
  </r>
  <r>
    <s v="ORD-1464 "/>
    <x v="303"/>
    <d v="2023-05-06T00:00:00"/>
    <s v="John Smith  "/>
    <x v="1"/>
    <s v="United States "/>
    <s v="Los Angeles"/>
    <x v="2"/>
    <x v="0"/>
    <s v="Tables"/>
    <x v="117"/>
    <x v="464"/>
    <n v="8"/>
    <n v="0"/>
    <n v="16.96"/>
    <n v="80.84"/>
    <n v="9"/>
    <n v="2.6224641266699655E-2"/>
  </r>
  <r>
    <s v="ORD-1465 "/>
    <x v="0"/>
    <d v="2022-11-03T00:00:00"/>
    <s v="Mohamed Ali"/>
    <x v="2"/>
    <s v="United States "/>
    <s v="Miami"/>
    <x v="2"/>
    <x v="1"/>
    <s v="Binders"/>
    <x v="274"/>
    <x v="465"/>
    <n v="5"/>
    <n v="0.1"/>
    <n v="5.88"/>
    <n v="7.76"/>
    <n v="44868"/>
    <n v="0.15154639175257734"/>
  </r>
  <r>
    <s v="ORD-1466 "/>
    <x v="0"/>
    <d v="2023-02-23T00:00:00"/>
    <s v="Rahul Kumar  "/>
    <x v="1"/>
    <s v="United States"/>
    <s v="Houston"/>
    <x v="3"/>
    <x v="2"/>
    <s v="Copiers"/>
    <x v="66"/>
    <x v="466"/>
    <n v="1"/>
    <n v="0"/>
    <n v="-4.29"/>
    <n v="567.87"/>
    <n v="44980"/>
    <n v="-7.5545459348090229E-3"/>
  </r>
  <r>
    <s v="ORD-1467 "/>
    <x v="0"/>
    <d v="2023-09-29T00:00:00"/>
    <s v="John Smith  "/>
    <x v="0"/>
    <s v="United States"/>
    <s v="New York"/>
    <x v="0"/>
    <x v="1"/>
    <s v="Binders"/>
    <x v="243"/>
    <x v="467"/>
    <n v="2"/>
    <n v="0"/>
    <n v="228.28"/>
    <n v="474.74"/>
    <n v="45198"/>
    <n v="0.24042633862745924"/>
  </r>
  <r>
    <s v="ORD-1468 "/>
    <x v="304"/>
    <d v="2023-01-18T00:00:00"/>
    <s v="Alice Brown"/>
    <x v="2"/>
    <s v="United States "/>
    <s v="Phoenix"/>
    <x v="0"/>
    <x v="1"/>
    <s v="Binders"/>
    <x v="286"/>
    <x v="468"/>
    <n v="3"/>
    <n v="0"/>
    <n v="68.81"/>
    <n v="150.45670000000001"/>
    <n v="-256"/>
    <n v="0.15244699470500919"/>
  </r>
  <r>
    <s v="ORD-1469 "/>
    <x v="305"/>
    <d v="2023-05-15T00:00:00"/>
    <s v="Mohamed Ali  "/>
    <x v="2"/>
    <s v="United States"/>
    <s v="New York"/>
    <x v="0"/>
    <x v="1"/>
    <s v="Binders"/>
    <x v="41"/>
    <x v="469"/>
    <n v="4"/>
    <n v="0.15"/>
    <n v="-21.49"/>
    <n v="227.185"/>
    <n v="10"/>
    <n v="-2.3648128177476503E-2"/>
  </r>
  <r>
    <s v="ORD-1470 "/>
    <x v="0"/>
    <d v="2022-12-28T00:00:00"/>
    <s v="Mohamed Ali "/>
    <x v="2"/>
    <s v="United States"/>
    <s v="Miami"/>
    <x v="0"/>
    <x v="2"/>
    <s v="Copiers"/>
    <x v="287"/>
    <x v="470"/>
    <n v="2"/>
    <n v="0.2"/>
    <n v="99.37"/>
    <n v="320.745"/>
    <n v="44923"/>
    <n v="0.15490498682754214"/>
  </r>
  <r>
    <s v="ORD-1471 "/>
    <x v="267"/>
    <d v="2023-04-16T00:00:00"/>
    <s v="John Smith  "/>
    <x v="1"/>
    <s v="United States "/>
    <s v="Los Angeles"/>
    <x v="2"/>
    <x v="0"/>
    <s v="Tables"/>
    <x v="84"/>
    <x v="471"/>
    <n v="5"/>
    <n v="0"/>
    <n v="-156.88"/>
    <n v="215.916"/>
    <n v="2"/>
    <n v="-0.14531577094796125"/>
  </r>
  <r>
    <s v="ORD-1472 "/>
    <x v="306"/>
    <d v="2023-10-06T00:00:00"/>
    <s v="Sara Lee  "/>
    <x v="0"/>
    <s v="United States"/>
    <s v="Chicago"/>
    <x v="2"/>
    <x v="2"/>
    <s v="Accessories"/>
    <x v="288"/>
    <x v="472"/>
    <n v="9"/>
    <n v="0.1"/>
    <n v="43.02"/>
    <n v="129.34440000000001"/>
    <n v="1"/>
    <n v="3.6955588007903106E-2"/>
  </r>
  <r>
    <s v="ORD-1473 "/>
    <x v="119"/>
    <d v="2022-01-27T00:00:00"/>
    <s v="Sara Lee  "/>
    <x v="0"/>
    <s v="United States "/>
    <s v="Houston"/>
    <x v="3"/>
    <x v="1"/>
    <s v="Storage"/>
    <x v="192"/>
    <x v="473"/>
    <n v="10"/>
    <n v="0.15"/>
    <n v="53.24"/>
    <n v="41.634"/>
    <n v="4"/>
    <n v="0.12787625498390739"/>
  </r>
  <r>
    <s v="ORD-1474 "/>
    <x v="137"/>
    <d v="2022-05-21T00:00:00"/>
    <s v="Alice Brown "/>
    <x v="2"/>
    <s v="United States "/>
    <s v="Los Angeles"/>
    <x v="2"/>
    <x v="0"/>
    <s v="Tables"/>
    <x v="104"/>
    <x v="474"/>
    <n v="6"/>
    <n v="0.15"/>
    <n v="53.17"/>
    <n v="47.933300000000003"/>
    <n v="5"/>
    <n v="0.18487482614742698"/>
  </r>
  <r>
    <s v="ORD-1475 "/>
    <x v="307"/>
    <d v="2023-07-08T00:00:00"/>
    <s v="Rahul Kumar  "/>
    <x v="1"/>
    <s v="United States "/>
    <s v="Chicago"/>
    <x v="3"/>
    <x v="0"/>
    <s v="Chairs"/>
    <x v="289"/>
    <x v="475"/>
    <n v="3"/>
    <n v="0.1"/>
    <n v="-81.89"/>
    <n v="336.80329999999998"/>
    <n v="5"/>
    <n v="-8.1046307934402873E-2"/>
  </r>
  <r>
    <s v="ORD-1476 "/>
    <x v="0"/>
    <d v="2022-08-08T00:00:00"/>
    <s v="Alice Brown  "/>
    <x v="2"/>
    <s v="United States"/>
    <s v="New York"/>
    <x v="1"/>
    <x v="1"/>
    <s v="Binders"/>
    <x v="290"/>
    <x v="476"/>
    <n v="6"/>
    <n v="0.1"/>
    <n v="-10.91"/>
    <n v="134.22499999999999"/>
    <n v="44781"/>
    <n v="-1.3546905072328801E-2"/>
  </r>
  <r>
    <s v="ORD-1477 "/>
    <x v="0"/>
    <d v="2024-02-29T00:00:00"/>
    <s v="Rahul Kumar "/>
    <x v="2"/>
    <s v="United States "/>
    <s v="Miami"/>
    <x v="1"/>
    <x v="2"/>
    <s v="Accessories"/>
    <x v="34"/>
    <x v="477"/>
    <n v="9"/>
    <n v="0"/>
    <n v="-7.01"/>
    <n v="22.682200000000002"/>
    <n v="45351"/>
    <n v="-3.4339178994807484E-2"/>
  </r>
  <r>
    <s v="ORD-1478 "/>
    <x v="308"/>
    <d v="2023-12-09T00:00:00"/>
    <s v="Sara Lee  "/>
    <x v="1"/>
    <s v="United States "/>
    <s v="Chicago"/>
    <x v="0"/>
    <x v="1"/>
    <s v="Paper"/>
    <x v="291"/>
    <x v="478"/>
    <n v="3"/>
    <n v="0"/>
    <n v="-153.19999999999999"/>
    <n v="360.73669999999998"/>
    <n v="2"/>
    <n v="-0.14156217370011365"/>
  </r>
  <r>
    <s v="ORD-1479 "/>
    <x v="275"/>
    <d v="2022-03-08T00:00:00"/>
    <s v="Mohamed Ali "/>
    <x v="0"/>
    <s v="United States"/>
    <s v="Phoenix"/>
    <x v="1"/>
    <x v="1"/>
    <s v="Binders"/>
    <x v="292"/>
    <x v="479"/>
    <n v="4"/>
    <n v="0.15"/>
    <n v="-72.36"/>
    <n v="177.11250000000001"/>
    <n v="10"/>
    <n v="-0.10213847131060766"/>
  </r>
  <r>
    <s v="ORD-1480 "/>
    <x v="0"/>
    <d v="2023-05-24T00:00:00"/>
    <s v="Sara Lee "/>
    <x v="2"/>
    <s v="United States"/>
    <s v="New York"/>
    <x v="3"/>
    <x v="1"/>
    <s v="Storage"/>
    <x v="159"/>
    <x v="480"/>
    <n v="1"/>
    <n v="0.15"/>
    <n v="-0.76"/>
    <n v="623.64"/>
    <n v="45070"/>
    <n v="-1.2186517862869605E-3"/>
  </r>
  <r>
    <s v="ORD-1481 "/>
    <x v="162"/>
    <d v="2022-12-31T00:00:00"/>
    <s v="Alice Brown  "/>
    <x v="2"/>
    <s v="United States "/>
    <s v="Los Angeles"/>
    <x v="0"/>
    <x v="2"/>
    <s v="Copiers"/>
    <x v="186"/>
    <x v="481"/>
    <n v="8"/>
    <n v="0.2"/>
    <n v="24.9"/>
    <n v="15.4213"/>
    <n v="5"/>
    <n v="0.20183188781713543"/>
  </r>
  <r>
    <s v="ORD-1482 "/>
    <x v="309"/>
    <d v="2022-08-06T00:00:00"/>
    <s v="John Smith "/>
    <x v="0"/>
    <s v="United States"/>
    <s v="Houston"/>
    <x v="2"/>
    <x v="2"/>
    <s v="Copiers"/>
    <x v="293"/>
    <x v="482"/>
    <n v="2"/>
    <n v="0"/>
    <n v="210.86"/>
    <n v="592.11500000000001"/>
    <n v="5"/>
    <n v="0.17805662751323645"/>
  </r>
  <r>
    <s v="ORD-1483 "/>
    <x v="310"/>
    <d v="2023-04-29T00:00:00"/>
    <s v="Rahul Kumar  "/>
    <x v="2"/>
    <s v="United States "/>
    <s v="Phoenix"/>
    <x v="1"/>
    <x v="0"/>
    <s v="Chairs"/>
    <x v="294"/>
    <x v="483"/>
    <n v="7"/>
    <n v="0.15"/>
    <n v="18.420000000000002"/>
    <n v="34.212899999999998"/>
    <n v="10"/>
    <n v="7.6913441062257296E-2"/>
  </r>
  <r>
    <s v="ORD-1484 "/>
    <x v="311"/>
    <d v="2022-01-29T00:00:00"/>
    <s v="Sara Lee"/>
    <x v="2"/>
    <s v="United States "/>
    <s v="New York"/>
    <x v="0"/>
    <x v="0"/>
    <s v="Tables"/>
    <x v="56"/>
    <x v="484"/>
    <n v="8"/>
    <n v="0"/>
    <n v="47.49"/>
    <n v="46.774999999999999"/>
    <n v="1"/>
    <n v="0.12691074291822554"/>
  </r>
  <r>
    <s v="ORD-1485 "/>
    <x v="195"/>
    <d v="2022-10-19T00:00:00"/>
    <s v="Sara Lee  "/>
    <x v="1"/>
    <s v="United States"/>
    <s v="Phoenix"/>
    <x v="0"/>
    <x v="0"/>
    <s v="Bookcases"/>
    <x v="256"/>
    <x v="485"/>
    <n v="10"/>
    <n v="0.2"/>
    <n v="74.489999999999995"/>
    <n v="89.977000000000004"/>
    <n v="8"/>
    <n v="8.2787823554908477E-2"/>
  </r>
  <r>
    <s v="ORD-1486 "/>
    <x v="312"/>
    <d v="2022-06-26T00:00:00"/>
    <s v="Rahul Kumar "/>
    <x v="0"/>
    <s v="United States"/>
    <s v="New York"/>
    <x v="3"/>
    <x v="0"/>
    <s v="Chairs"/>
    <x v="295"/>
    <x v="486"/>
    <n v="3"/>
    <n v="0.15"/>
    <n v="-47.01"/>
    <n v="132.4067"/>
    <n v="10"/>
    <n v="-0.11834751523085442"/>
  </r>
  <r>
    <s v="ORD-1487 "/>
    <x v="313"/>
    <d v="2023-06-29T00:00:00"/>
    <s v="Mohamed Ali "/>
    <x v="2"/>
    <s v="United States"/>
    <s v="Chicago"/>
    <x v="3"/>
    <x v="1"/>
    <s v="Binders"/>
    <x v="296"/>
    <x v="487"/>
    <n v="3"/>
    <n v="0"/>
    <n v="91.87"/>
    <n v="308.13330000000002"/>
    <n v="2"/>
    <n v="9.9383383816529655E-2"/>
  </r>
  <r>
    <s v="ORD-1488 "/>
    <x v="314"/>
    <d v="2023-07-12T00:00:00"/>
    <s v="Sara Lee "/>
    <x v="1"/>
    <s v="United States"/>
    <s v="Los Angeles"/>
    <x v="2"/>
    <x v="2"/>
    <s v="Phones"/>
    <x v="22"/>
    <x v="488"/>
    <n v="9"/>
    <n v="0.15"/>
    <n v="-0.48"/>
    <n v="3.9133"/>
    <n v="10"/>
    <n v="-1.3628620102214651E-2"/>
  </r>
  <r>
    <s v="ORD-1489 "/>
    <x v="0"/>
    <d v="2022-08-19T00:00:00"/>
    <s v="John Smith "/>
    <x v="2"/>
    <s v="United States"/>
    <s v="New York"/>
    <x v="2"/>
    <x v="1"/>
    <s v="Storage"/>
    <x v="183"/>
    <x v="489"/>
    <n v="9"/>
    <n v="0"/>
    <n v="130.30000000000001"/>
    <n v="92.643299999999996"/>
    <n v="44792"/>
    <n v="0.15627436164981592"/>
  </r>
  <r>
    <s v="ORD-1490 "/>
    <x v="266"/>
    <d v="2023-05-13T00:00:00"/>
    <s v="Alice Brown  "/>
    <x v="2"/>
    <s v="United States"/>
    <s v="Seattle"/>
    <x v="0"/>
    <x v="2"/>
    <s v="Copiers"/>
    <x v="223"/>
    <x v="490"/>
    <n v="8"/>
    <n v="0"/>
    <n v="27.57"/>
    <n v="55.978700000000003"/>
    <n v="6"/>
    <n v="6.156353973606056E-2"/>
  </r>
  <r>
    <s v="ORD-1491 "/>
    <x v="315"/>
    <d v="2022-05-15T00:00:00"/>
    <s v="John Smith"/>
    <x v="1"/>
    <s v="United States "/>
    <s v="Miami"/>
    <x v="1"/>
    <x v="1"/>
    <s v="Binders"/>
    <x v="99"/>
    <x v="491"/>
    <n v="4"/>
    <n v="0.1"/>
    <n v="111.22"/>
    <n v="95.692499999999995"/>
    <n v="3"/>
    <n v="0.29056613632207334"/>
  </r>
  <r>
    <s v="ORD-1492 "/>
    <x v="316"/>
    <d v="2022-07-23T00:00:00"/>
    <s v="John Smith"/>
    <x v="2"/>
    <s v="United States"/>
    <s v="Miami"/>
    <x v="0"/>
    <x v="0"/>
    <s v="Bookcases"/>
    <x v="297"/>
    <x v="492"/>
    <n v="1"/>
    <n v="0.2"/>
    <n v="-87.96"/>
    <n v="625.91"/>
    <n v="2"/>
    <n v="-0.14053138630154494"/>
  </r>
  <r>
    <s v="ORD-1493 "/>
    <x v="317"/>
    <d v="2023-09-13T00:00:00"/>
    <s v="Rahul Kumar  "/>
    <x v="2"/>
    <s v="United States"/>
    <s v="Los Angeles"/>
    <x v="2"/>
    <x v="1"/>
    <s v="Binders"/>
    <x v="59"/>
    <x v="493"/>
    <n v="6"/>
    <n v="0"/>
    <n v="-36.799999999999997"/>
    <n v="39.673299999999998"/>
    <n v="4"/>
    <n v="-0.15459586624096791"/>
  </r>
  <r>
    <s v="ORD-1494 "/>
    <x v="318"/>
    <d v="2023-08-09T00:00:00"/>
    <s v="Alice Brown  "/>
    <x v="1"/>
    <s v="United States"/>
    <s v="Los Angeles"/>
    <x v="1"/>
    <x v="0"/>
    <s v="Bookcases"/>
    <x v="6"/>
    <x v="494"/>
    <n v="9"/>
    <n v="0.1"/>
    <n v="145.37"/>
    <n v="102.29219999999999"/>
    <n v="2"/>
    <n v="0.15790274051464759"/>
  </r>
  <r>
    <s v="ORD-1495 "/>
    <x v="262"/>
    <d v="2023-12-26T00:00:00"/>
    <s v="Sara Lee"/>
    <x v="0"/>
    <s v="United States "/>
    <s v="Houston"/>
    <x v="0"/>
    <x v="0"/>
    <s v="Tables"/>
    <x v="56"/>
    <x v="495"/>
    <n v="2"/>
    <n v="0.1"/>
    <n v="177.11"/>
    <n v="407.38"/>
    <n v="10"/>
    <n v="0.2173768962639305"/>
  </r>
  <r>
    <s v="ORD-1496 "/>
    <x v="0"/>
    <d v="2022-11-20T00:00:00"/>
    <s v="John Smith"/>
    <x v="2"/>
    <s v="United States "/>
    <s v="New York"/>
    <x v="1"/>
    <x v="2"/>
    <s v="Phones"/>
    <x v="125"/>
    <x v="496"/>
    <n v="8"/>
    <n v="0.15"/>
    <n v="96.49"/>
    <n v="79.16"/>
    <n v="44885"/>
    <n v="0.15236546235472462"/>
  </r>
  <r>
    <s v="ORD-1497 "/>
    <x v="319"/>
    <d v="2023-04-23T00:00:00"/>
    <s v="Sara Lee"/>
    <x v="1"/>
    <s v="United States "/>
    <s v="Seattle"/>
    <x v="3"/>
    <x v="1"/>
    <s v="Paper"/>
    <x v="184"/>
    <x v="497"/>
    <n v="8"/>
    <n v="0.1"/>
    <n v="63.93"/>
    <n v="103.83880000000001"/>
    <n v="10"/>
    <n v="7.6958264617014355E-2"/>
  </r>
  <r>
    <s v="ORD-1498 "/>
    <x v="320"/>
    <d v="2022-01-22T00:00:00"/>
    <s v="Sara Lee  "/>
    <x v="0"/>
    <s v="United States"/>
    <s v="Seattle"/>
    <x v="2"/>
    <x v="1"/>
    <s v="Binders"/>
    <x v="298"/>
    <x v="498"/>
    <n v="9"/>
    <n v="0"/>
    <n v="-68.47"/>
    <n v="54.191099999999999"/>
    <n v="8"/>
    <n v="-0.14038792749938489"/>
  </r>
  <r>
    <s v="ORD-1499 "/>
    <x v="321"/>
    <d v="2023-01-12T00:00:00"/>
    <s v="Sara Lee "/>
    <x v="0"/>
    <s v="United States"/>
    <s v="Miami"/>
    <x v="1"/>
    <x v="2"/>
    <s v="Phones"/>
    <x v="45"/>
    <x v="499"/>
    <n v="7"/>
    <n v="0"/>
    <n v="-60.34"/>
    <n v="103.15"/>
    <n v="4"/>
    <n v="-8.3567619970916149E-2"/>
  </r>
  <r>
    <m/>
    <x v="0"/>
    <m/>
    <m/>
    <x v="3"/>
    <m/>
    <m/>
    <x v="4"/>
    <x v="3"/>
    <m/>
    <x v="299"/>
    <x v="50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DE92B-0EFD-4779-9542-47F5A27C2D5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3:G7" firstHeaderRow="1" firstDataRow="1" firstDataCol="1"/>
  <pivotFields count="21">
    <pivotField showAll="0"/>
    <pivotField showAll="0">
      <items count="323">
        <item x="230"/>
        <item x="158"/>
        <item x="300"/>
        <item x="279"/>
        <item x="54"/>
        <item x="152"/>
        <item x="221"/>
        <item x="138"/>
        <item x="320"/>
        <item x="86"/>
        <item x="119"/>
        <item x="311"/>
        <item x="38"/>
        <item x="131"/>
        <item x="39"/>
        <item x="222"/>
        <item x="100"/>
        <item x="89"/>
        <item x="182"/>
        <item x="275"/>
        <item x="132"/>
        <item x="124"/>
        <item x="15"/>
        <item x="58"/>
        <item x="237"/>
        <item x="185"/>
        <item x="142"/>
        <item x="136"/>
        <item x="72"/>
        <item x="3"/>
        <item x="228"/>
        <item x="288"/>
        <item x="96"/>
        <item x="197"/>
        <item x="169"/>
        <item x="52"/>
        <item x="298"/>
        <item x="145"/>
        <item x="255"/>
        <item x="140"/>
        <item x="31"/>
        <item x="285"/>
        <item x="216"/>
        <item x="20"/>
        <item x="148"/>
        <item x="296"/>
        <item x="236"/>
        <item x="94"/>
        <item x="299"/>
        <item x="315"/>
        <item x="238"/>
        <item x="137"/>
        <item x="24"/>
        <item x="280"/>
        <item x="109"/>
        <item x="294"/>
        <item x="139"/>
        <item x="287"/>
        <item x="188"/>
        <item x="30"/>
        <item x="248"/>
        <item x="81"/>
        <item x="126"/>
        <item x="147"/>
        <item x="242"/>
        <item x="312"/>
        <item x="98"/>
        <item x="290"/>
        <item x="257"/>
        <item x="114"/>
        <item x="235"/>
        <item x="127"/>
        <item x="61"/>
        <item x="302"/>
        <item x="316"/>
        <item x="122"/>
        <item x="309"/>
        <item x="180"/>
        <item x="163"/>
        <item x="62"/>
        <item x="274"/>
        <item x="1"/>
        <item x="6"/>
        <item x="179"/>
        <item x="166"/>
        <item x="161"/>
        <item x="204"/>
        <item x="168"/>
        <item x="207"/>
        <item x="233"/>
        <item x="101"/>
        <item x="260"/>
        <item x="55"/>
        <item x="7"/>
        <item x="36"/>
        <item x="53"/>
        <item x="129"/>
        <item x="212"/>
        <item x="14"/>
        <item x="17"/>
        <item x="208"/>
        <item x="93"/>
        <item x="226"/>
        <item x="195"/>
        <item x="2"/>
        <item x="33"/>
        <item x="167"/>
        <item x="174"/>
        <item x="205"/>
        <item x="264"/>
        <item x="282"/>
        <item x="190"/>
        <item x="21"/>
        <item x="284"/>
        <item x="26"/>
        <item x="253"/>
        <item x="272"/>
        <item x="259"/>
        <item x="261"/>
        <item x="215"/>
        <item x="48"/>
        <item x="250"/>
        <item x="117"/>
        <item x="159"/>
        <item x="12"/>
        <item x="69"/>
        <item x="206"/>
        <item x="19"/>
        <item x="162"/>
        <item x="258"/>
        <item x="78"/>
        <item x="196"/>
        <item x="99"/>
        <item x="321"/>
        <item x="76"/>
        <item x="183"/>
        <item x="249"/>
        <item x="85"/>
        <item x="181"/>
        <item x="125"/>
        <item x="224"/>
        <item x="241"/>
        <item x="151"/>
        <item x="211"/>
        <item x="187"/>
        <item x="66"/>
        <item x="225"/>
        <item x="40"/>
        <item x="133"/>
        <item x="170"/>
        <item x="60"/>
        <item x="120"/>
        <item x="234"/>
        <item x="292"/>
        <item x="202"/>
        <item x="64"/>
        <item x="277"/>
        <item x="199"/>
        <item x="173"/>
        <item x="42"/>
        <item x="73"/>
        <item x="160"/>
        <item x="75"/>
        <item x="70"/>
        <item x="246"/>
        <item x="84"/>
        <item x="77"/>
        <item x="245"/>
        <item x="319"/>
        <item x="267"/>
        <item x="310"/>
        <item x="97"/>
        <item x="283"/>
        <item x="57"/>
        <item x="303"/>
        <item x="289"/>
        <item x="49"/>
        <item x="305"/>
        <item x="266"/>
        <item x="252"/>
        <item x="16"/>
        <item x="203"/>
        <item x="268"/>
        <item x="123"/>
        <item x="63"/>
        <item x="65"/>
        <item x="232"/>
        <item x="74"/>
        <item x="92"/>
        <item x="223"/>
        <item x="44"/>
        <item x="105"/>
        <item x="164"/>
        <item x="50"/>
        <item x="313"/>
        <item x="112"/>
        <item x="286"/>
        <item x="314"/>
        <item x="307"/>
        <item x="209"/>
        <item x="220"/>
        <item x="32"/>
        <item x="88"/>
        <item x="43"/>
        <item x="37"/>
        <item x="111"/>
        <item x="153"/>
        <item x="239"/>
        <item x="5"/>
        <item x="116"/>
        <item x="318"/>
        <item x="210"/>
        <item x="278"/>
        <item x="108"/>
        <item x="281"/>
        <item x="301"/>
        <item x="217"/>
        <item x="118"/>
        <item x="218"/>
        <item x="172"/>
        <item x="150"/>
        <item x="141"/>
        <item x="251"/>
        <item x="104"/>
        <item x="68"/>
        <item x="317"/>
        <item x="45"/>
        <item x="227"/>
        <item x="87"/>
        <item x="297"/>
        <item x="304"/>
        <item x="59"/>
        <item x="306"/>
        <item x="10"/>
        <item x="157"/>
        <item x="177"/>
        <item x="198"/>
        <item x="254"/>
        <item x="28"/>
        <item x="113"/>
        <item x="13"/>
        <item x="110"/>
        <item x="276"/>
        <item x="79"/>
        <item x="143"/>
        <item x="178"/>
        <item x="71"/>
        <item x="184"/>
        <item x="149"/>
        <item x="9"/>
        <item x="219"/>
        <item x="293"/>
        <item x="201"/>
        <item x="308"/>
        <item x="200"/>
        <item x="295"/>
        <item x="262"/>
        <item x="80"/>
        <item x="191"/>
        <item x="46"/>
        <item x="95"/>
        <item x="34"/>
        <item x="91"/>
        <item x="35"/>
        <item x="90"/>
        <item x="4"/>
        <item x="269"/>
        <item x="265"/>
        <item x="25"/>
        <item x="67"/>
        <item x="47"/>
        <item x="144"/>
        <item x="56"/>
        <item x="22"/>
        <item x="130"/>
        <item x="256"/>
        <item x="273"/>
        <item x="244"/>
        <item x="247"/>
        <item x="135"/>
        <item x="154"/>
        <item x="263"/>
        <item x="8"/>
        <item x="175"/>
        <item x="291"/>
        <item x="11"/>
        <item x="213"/>
        <item x="18"/>
        <item x="194"/>
        <item x="214"/>
        <item x="23"/>
        <item x="83"/>
        <item x="176"/>
        <item x="155"/>
        <item x="134"/>
        <item x="189"/>
        <item x="271"/>
        <item x="106"/>
        <item x="231"/>
        <item x="82"/>
        <item x="27"/>
        <item x="29"/>
        <item x="171"/>
        <item x="41"/>
        <item x="229"/>
        <item x="115"/>
        <item x="51"/>
        <item x="243"/>
        <item x="165"/>
        <item x="121"/>
        <item x="102"/>
        <item x="240"/>
        <item x="107"/>
        <item x="103"/>
        <item x="186"/>
        <item x="156"/>
        <item x="270"/>
        <item x="193"/>
        <item x="146"/>
        <item x="192"/>
        <item x="128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4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79691-8B09-4F3E-BB7B-D76A1486A08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3:C8" firstHeaderRow="1" firstDataRow="1" firstDataCol="1"/>
  <pivotFields count="21">
    <pivotField showAll="0"/>
    <pivotField showAll="0">
      <items count="323">
        <item x="230"/>
        <item x="158"/>
        <item x="300"/>
        <item x="279"/>
        <item x="54"/>
        <item x="152"/>
        <item x="221"/>
        <item x="138"/>
        <item x="320"/>
        <item x="86"/>
        <item x="119"/>
        <item x="311"/>
        <item x="38"/>
        <item x="131"/>
        <item x="39"/>
        <item x="222"/>
        <item x="100"/>
        <item x="89"/>
        <item x="182"/>
        <item x="275"/>
        <item x="132"/>
        <item x="124"/>
        <item x="15"/>
        <item x="58"/>
        <item x="237"/>
        <item x="185"/>
        <item x="142"/>
        <item x="136"/>
        <item x="72"/>
        <item x="3"/>
        <item x="228"/>
        <item x="288"/>
        <item x="96"/>
        <item x="197"/>
        <item x="169"/>
        <item x="52"/>
        <item x="298"/>
        <item x="145"/>
        <item x="255"/>
        <item x="140"/>
        <item x="31"/>
        <item x="285"/>
        <item x="216"/>
        <item x="20"/>
        <item x="148"/>
        <item x="296"/>
        <item x="236"/>
        <item x="94"/>
        <item x="299"/>
        <item x="315"/>
        <item x="238"/>
        <item x="137"/>
        <item x="24"/>
        <item x="280"/>
        <item x="109"/>
        <item x="294"/>
        <item x="139"/>
        <item x="287"/>
        <item x="188"/>
        <item x="30"/>
        <item x="248"/>
        <item x="81"/>
        <item x="126"/>
        <item x="147"/>
        <item x="242"/>
        <item x="312"/>
        <item x="98"/>
        <item x="290"/>
        <item x="257"/>
        <item x="114"/>
        <item x="235"/>
        <item x="127"/>
        <item x="61"/>
        <item x="302"/>
        <item x="316"/>
        <item x="122"/>
        <item x="309"/>
        <item x="180"/>
        <item x="163"/>
        <item x="62"/>
        <item x="274"/>
        <item x="1"/>
        <item x="6"/>
        <item x="179"/>
        <item x="166"/>
        <item x="161"/>
        <item x="204"/>
        <item x="168"/>
        <item x="207"/>
        <item x="233"/>
        <item x="101"/>
        <item x="260"/>
        <item x="55"/>
        <item x="7"/>
        <item x="36"/>
        <item x="53"/>
        <item x="129"/>
        <item x="212"/>
        <item x="14"/>
        <item x="17"/>
        <item x="208"/>
        <item x="93"/>
        <item x="226"/>
        <item x="195"/>
        <item x="2"/>
        <item x="33"/>
        <item x="167"/>
        <item x="174"/>
        <item x="205"/>
        <item x="264"/>
        <item x="282"/>
        <item x="190"/>
        <item x="21"/>
        <item x="284"/>
        <item x="26"/>
        <item x="253"/>
        <item x="272"/>
        <item x="259"/>
        <item x="261"/>
        <item x="215"/>
        <item x="48"/>
        <item x="250"/>
        <item x="117"/>
        <item x="159"/>
        <item x="12"/>
        <item x="69"/>
        <item x="206"/>
        <item x="19"/>
        <item x="162"/>
        <item x="258"/>
        <item x="78"/>
        <item x="196"/>
        <item x="99"/>
        <item x="321"/>
        <item x="76"/>
        <item x="183"/>
        <item x="249"/>
        <item x="85"/>
        <item x="181"/>
        <item x="125"/>
        <item x="224"/>
        <item x="241"/>
        <item x="151"/>
        <item x="211"/>
        <item x="187"/>
        <item x="66"/>
        <item x="225"/>
        <item x="40"/>
        <item x="133"/>
        <item x="170"/>
        <item x="60"/>
        <item x="120"/>
        <item x="234"/>
        <item x="292"/>
        <item x="202"/>
        <item x="64"/>
        <item x="277"/>
        <item x="199"/>
        <item x="173"/>
        <item x="42"/>
        <item x="73"/>
        <item x="160"/>
        <item x="75"/>
        <item x="70"/>
        <item x="246"/>
        <item x="84"/>
        <item x="77"/>
        <item x="245"/>
        <item x="319"/>
        <item x="267"/>
        <item x="310"/>
        <item x="97"/>
        <item x="283"/>
        <item x="57"/>
        <item x="303"/>
        <item x="289"/>
        <item x="49"/>
        <item x="305"/>
        <item x="266"/>
        <item x="252"/>
        <item x="16"/>
        <item x="203"/>
        <item x="268"/>
        <item x="123"/>
        <item x="63"/>
        <item x="65"/>
        <item x="232"/>
        <item x="74"/>
        <item x="92"/>
        <item x="223"/>
        <item x="44"/>
        <item x="105"/>
        <item x="164"/>
        <item x="50"/>
        <item x="313"/>
        <item x="112"/>
        <item x="286"/>
        <item x="314"/>
        <item x="307"/>
        <item x="209"/>
        <item x="220"/>
        <item x="32"/>
        <item x="88"/>
        <item x="43"/>
        <item x="37"/>
        <item x="111"/>
        <item x="153"/>
        <item x="239"/>
        <item x="5"/>
        <item x="116"/>
        <item x="318"/>
        <item x="210"/>
        <item x="278"/>
        <item x="108"/>
        <item x="281"/>
        <item x="301"/>
        <item x="217"/>
        <item x="118"/>
        <item x="218"/>
        <item x="172"/>
        <item x="150"/>
        <item x="141"/>
        <item x="251"/>
        <item x="104"/>
        <item x="68"/>
        <item x="317"/>
        <item x="45"/>
        <item x="227"/>
        <item x="87"/>
        <item x="297"/>
        <item x="304"/>
        <item x="59"/>
        <item x="306"/>
        <item x="10"/>
        <item x="157"/>
        <item x="177"/>
        <item x="198"/>
        <item x="254"/>
        <item x="28"/>
        <item x="113"/>
        <item x="13"/>
        <item x="110"/>
        <item x="276"/>
        <item x="79"/>
        <item x="143"/>
        <item x="178"/>
        <item x="71"/>
        <item x="184"/>
        <item x="149"/>
        <item x="9"/>
        <item x="219"/>
        <item x="293"/>
        <item x="201"/>
        <item x="308"/>
        <item x="200"/>
        <item x="295"/>
        <item x="262"/>
        <item x="80"/>
        <item x="191"/>
        <item x="46"/>
        <item x="95"/>
        <item x="34"/>
        <item x="91"/>
        <item x="35"/>
        <item x="90"/>
        <item x="4"/>
        <item x="269"/>
        <item x="265"/>
        <item x="25"/>
        <item x="67"/>
        <item x="47"/>
        <item x="144"/>
        <item x="56"/>
        <item x="22"/>
        <item x="130"/>
        <item x="256"/>
        <item x="273"/>
        <item x="244"/>
        <item x="247"/>
        <item x="135"/>
        <item x="154"/>
        <item x="263"/>
        <item x="8"/>
        <item x="175"/>
        <item x="291"/>
        <item x="11"/>
        <item x="213"/>
        <item x="18"/>
        <item x="194"/>
        <item x="214"/>
        <item x="23"/>
        <item x="83"/>
        <item x="176"/>
        <item x="155"/>
        <item x="134"/>
        <item x="189"/>
        <item x="271"/>
        <item x="106"/>
        <item x="231"/>
        <item x="82"/>
        <item x="27"/>
        <item x="29"/>
        <item x="171"/>
        <item x="41"/>
        <item x="229"/>
        <item x="115"/>
        <item x="51"/>
        <item x="243"/>
        <item x="165"/>
        <item x="121"/>
        <item x="102"/>
        <item x="240"/>
        <item x="107"/>
        <item x="103"/>
        <item x="186"/>
        <item x="156"/>
        <item x="270"/>
        <item x="193"/>
        <item x="146"/>
        <item x="192"/>
        <item x="128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AD533-21A3-4992-98EA-24231C1287E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Q3:R9" firstHeaderRow="1" firstDataRow="1" firstDataCol="1"/>
  <pivotFields count="21">
    <pivotField showAll="0"/>
    <pivotField showAll="0">
      <items count="323">
        <item x="230"/>
        <item x="158"/>
        <item x="300"/>
        <item x="279"/>
        <item x="54"/>
        <item x="152"/>
        <item x="221"/>
        <item x="138"/>
        <item x="320"/>
        <item x="86"/>
        <item x="119"/>
        <item x="311"/>
        <item x="38"/>
        <item x="131"/>
        <item x="39"/>
        <item x="222"/>
        <item x="100"/>
        <item x="89"/>
        <item x="182"/>
        <item x="275"/>
        <item x="132"/>
        <item x="124"/>
        <item x="15"/>
        <item x="58"/>
        <item x="237"/>
        <item x="185"/>
        <item x="142"/>
        <item x="136"/>
        <item x="72"/>
        <item x="3"/>
        <item x="228"/>
        <item x="288"/>
        <item x="96"/>
        <item x="197"/>
        <item x="169"/>
        <item x="52"/>
        <item x="298"/>
        <item x="145"/>
        <item x="255"/>
        <item x="140"/>
        <item x="31"/>
        <item x="285"/>
        <item x="216"/>
        <item x="20"/>
        <item x="148"/>
        <item x="296"/>
        <item x="236"/>
        <item x="94"/>
        <item x="299"/>
        <item x="315"/>
        <item x="238"/>
        <item x="137"/>
        <item x="24"/>
        <item x="280"/>
        <item x="109"/>
        <item x="294"/>
        <item x="139"/>
        <item x="287"/>
        <item x="188"/>
        <item x="30"/>
        <item x="248"/>
        <item x="81"/>
        <item x="126"/>
        <item x="147"/>
        <item x="242"/>
        <item x="312"/>
        <item x="98"/>
        <item x="290"/>
        <item x="257"/>
        <item x="114"/>
        <item x="235"/>
        <item x="127"/>
        <item x="61"/>
        <item x="302"/>
        <item x="316"/>
        <item x="122"/>
        <item x="309"/>
        <item x="180"/>
        <item x="163"/>
        <item x="62"/>
        <item x="274"/>
        <item x="1"/>
        <item x="6"/>
        <item x="179"/>
        <item x="166"/>
        <item x="161"/>
        <item x="204"/>
        <item x="168"/>
        <item x="207"/>
        <item x="233"/>
        <item x="101"/>
        <item x="260"/>
        <item x="55"/>
        <item x="7"/>
        <item x="36"/>
        <item x="53"/>
        <item x="129"/>
        <item x="212"/>
        <item x="14"/>
        <item x="17"/>
        <item x="208"/>
        <item x="93"/>
        <item x="226"/>
        <item x="195"/>
        <item x="2"/>
        <item x="33"/>
        <item x="167"/>
        <item x="174"/>
        <item x="205"/>
        <item x="264"/>
        <item x="282"/>
        <item x="190"/>
        <item x="21"/>
        <item x="284"/>
        <item x="26"/>
        <item x="253"/>
        <item x="272"/>
        <item x="259"/>
        <item x="261"/>
        <item x="215"/>
        <item x="48"/>
        <item x="250"/>
        <item x="117"/>
        <item x="159"/>
        <item x="12"/>
        <item x="69"/>
        <item x="206"/>
        <item x="19"/>
        <item x="162"/>
        <item x="258"/>
        <item x="78"/>
        <item x="196"/>
        <item x="99"/>
        <item x="321"/>
        <item x="76"/>
        <item x="183"/>
        <item x="249"/>
        <item x="85"/>
        <item x="181"/>
        <item x="125"/>
        <item x="224"/>
        <item x="241"/>
        <item x="151"/>
        <item x="211"/>
        <item x="187"/>
        <item x="66"/>
        <item x="225"/>
        <item x="40"/>
        <item x="133"/>
        <item x="170"/>
        <item x="60"/>
        <item x="120"/>
        <item x="234"/>
        <item x="292"/>
        <item x="202"/>
        <item x="64"/>
        <item x="277"/>
        <item x="199"/>
        <item x="173"/>
        <item x="42"/>
        <item x="73"/>
        <item x="160"/>
        <item x="75"/>
        <item x="70"/>
        <item x="246"/>
        <item x="84"/>
        <item x="77"/>
        <item x="245"/>
        <item x="319"/>
        <item x="267"/>
        <item x="310"/>
        <item x="97"/>
        <item x="283"/>
        <item x="57"/>
        <item x="303"/>
        <item x="289"/>
        <item x="49"/>
        <item x="305"/>
        <item x="266"/>
        <item x="252"/>
        <item x="16"/>
        <item x="203"/>
        <item x="268"/>
        <item x="123"/>
        <item x="63"/>
        <item x="65"/>
        <item x="232"/>
        <item x="74"/>
        <item x="92"/>
        <item x="223"/>
        <item x="44"/>
        <item x="105"/>
        <item x="164"/>
        <item x="50"/>
        <item x="313"/>
        <item x="112"/>
        <item x="286"/>
        <item x="314"/>
        <item x="307"/>
        <item x="209"/>
        <item x="220"/>
        <item x="32"/>
        <item x="88"/>
        <item x="43"/>
        <item x="37"/>
        <item x="111"/>
        <item x="153"/>
        <item x="239"/>
        <item x="5"/>
        <item x="116"/>
        <item x="318"/>
        <item x="210"/>
        <item x="278"/>
        <item x="108"/>
        <item x="281"/>
        <item x="301"/>
        <item x="217"/>
        <item x="118"/>
        <item x="218"/>
        <item x="172"/>
        <item x="150"/>
        <item x="141"/>
        <item x="251"/>
        <item x="104"/>
        <item x="68"/>
        <item x="317"/>
        <item x="45"/>
        <item x="227"/>
        <item x="87"/>
        <item x="297"/>
        <item x="304"/>
        <item x="59"/>
        <item x="306"/>
        <item x="10"/>
        <item x="157"/>
        <item x="177"/>
        <item x="198"/>
        <item x="254"/>
        <item x="28"/>
        <item x="113"/>
        <item x="13"/>
        <item x="110"/>
        <item x="276"/>
        <item x="79"/>
        <item x="143"/>
        <item x="178"/>
        <item x="71"/>
        <item x="184"/>
        <item x="149"/>
        <item x="9"/>
        <item x="219"/>
        <item x="293"/>
        <item x="201"/>
        <item x="308"/>
        <item x="200"/>
        <item x="295"/>
        <item x="262"/>
        <item x="80"/>
        <item x="191"/>
        <item x="46"/>
        <item x="95"/>
        <item x="34"/>
        <item x="91"/>
        <item x="35"/>
        <item x="90"/>
        <item x="4"/>
        <item x="269"/>
        <item x="265"/>
        <item x="25"/>
        <item x="67"/>
        <item x="47"/>
        <item x="144"/>
        <item x="56"/>
        <item x="22"/>
        <item x="130"/>
        <item x="256"/>
        <item x="273"/>
        <item x="244"/>
        <item x="247"/>
        <item x="135"/>
        <item x="154"/>
        <item x="263"/>
        <item x="8"/>
        <item x="175"/>
        <item x="291"/>
        <item x="11"/>
        <item x="213"/>
        <item x="18"/>
        <item x="194"/>
        <item x="214"/>
        <item x="23"/>
        <item x="83"/>
        <item x="176"/>
        <item x="155"/>
        <item x="134"/>
        <item x="189"/>
        <item x="271"/>
        <item x="106"/>
        <item x="231"/>
        <item x="82"/>
        <item x="27"/>
        <item x="29"/>
        <item x="171"/>
        <item x="41"/>
        <item x="229"/>
        <item x="115"/>
        <item x="51"/>
        <item x="243"/>
        <item x="165"/>
        <item x="121"/>
        <item x="102"/>
        <item x="240"/>
        <item x="107"/>
        <item x="103"/>
        <item x="186"/>
        <item x="156"/>
        <item x="270"/>
        <item x="193"/>
        <item x="146"/>
        <item x="192"/>
        <item x="128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28922-506C-49F9-A30E-9866EBF7D3A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3:M7" firstHeaderRow="0" firstDataRow="1" firstDataCol="1"/>
  <pivotFields count="21">
    <pivotField showAll="0"/>
    <pivotField showAll="0">
      <items count="323">
        <item x="230"/>
        <item x="158"/>
        <item x="300"/>
        <item x="279"/>
        <item x="54"/>
        <item x="152"/>
        <item x="221"/>
        <item x="138"/>
        <item x="320"/>
        <item x="86"/>
        <item x="119"/>
        <item x="311"/>
        <item x="38"/>
        <item x="131"/>
        <item x="39"/>
        <item x="222"/>
        <item x="100"/>
        <item x="89"/>
        <item x="182"/>
        <item x="275"/>
        <item x="132"/>
        <item x="124"/>
        <item x="15"/>
        <item x="58"/>
        <item x="237"/>
        <item x="185"/>
        <item x="142"/>
        <item x="136"/>
        <item x="72"/>
        <item x="3"/>
        <item x="228"/>
        <item x="288"/>
        <item x="96"/>
        <item x="197"/>
        <item x="169"/>
        <item x="52"/>
        <item x="298"/>
        <item x="145"/>
        <item x="255"/>
        <item x="140"/>
        <item x="31"/>
        <item x="285"/>
        <item x="216"/>
        <item x="20"/>
        <item x="148"/>
        <item x="296"/>
        <item x="236"/>
        <item x="94"/>
        <item x="299"/>
        <item x="315"/>
        <item x="238"/>
        <item x="137"/>
        <item x="24"/>
        <item x="280"/>
        <item x="109"/>
        <item x="294"/>
        <item x="139"/>
        <item x="287"/>
        <item x="188"/>
        <item x="30"/>
        <item x="248"/>
        <item x="81"/>
        <item x="126"/>
        <item x="147"/>
        <item x="242"/>
        <item x="312"/>
        <item x="98"/>
        <item x="290"/>
        <item x="257"/>
        <item x="114"/>
        <item x="235"/>
        <item x="127"/>
        <item x="61"/>
        <item x="302"/>
        <item x="316"/>
        <item x="122"/>
        <item x="309"/>
        <item x="180"/>
        <item x="163"/>
        <item x="62"/>
        <item x="274"/>
        <item x="1"/>
        <item x="6"/>
        <item x="179"/>
        <item x="166"/>
        <item x="161"/>
        <item x="204"/>
        <item x="168"/>
        <item x="207"/>
        <item x="233"/>
        <item x="101"/>
        <item x="260"/>
        <item x="55"/>
        <item x="7"/>
        <item x="36"/>
        <item x="53"/>
        <item x="129"/>
        <item x="212"/>
        <item x="14"/>
        <item x="17"/>
        <item x="208"/>
        <item x="93"/>
        <item x="226"/>
        <item x="195"/>
        <item x="2"/>
        <item x="33"/>
        <item x="167"/>
        <item x="174"/>
        <item x="205"/>
        <item x="264"/>
        <item x="282"/>
        <item x="190"/>
        <item x="21"/>
        <item x="284"/>
        <item x="26"/>
        <item x="253"/>
        <item x="272"/>
        <item x="259"/>
        <item x="261"/>
        <item x="215"/>
        <item x="48"/>
        <item x="250"/>
        <item x="117"/>
        <item x="159"/>
        <item x="12"/>
        <item x="69"/>
        <item x="206"/>
        <item x="19"/>
        <item x="162"/>
        <item x="258"/>
        <item x="78"/>
        <item x="196"/>
        <item x="99"/>
        <item x="321"/>
        <item x="76"/>
        <item x="183"/>
        <item x="249"/>
        <item x="85"/>
        <item x="181"/>
        <item x="125"/>
        <item x="224"/>
        <item x="241"/>
        <item x="151"/>
        <item x="211"/>
        <item x="187"/>
        <item x="66"/>
        <item x="225"/>
        <item x="40"/>
        <item x="133"/>
        <item x="170"/>
        <item x="60"/>
        <item x="120"/>
        <item x="234"/>
        <item x="292"/>
        <item x="202"/>
        <item x="64"/>
        <item x="277"/>
        <item x="199"/>
        <item x="173"/>
        <item x="42"/>
        <item x="73"/>
        <item x="160"/>
        <item x="75"/>
        <item x="70"/>
        <item x="246"/>
        <item x="84"/>
        <item x="77"/>
        <item x="245"/>
        <item x="319"/>
        <item x="267"/>
        <item x="310"/>
        <item x="97"/>
        <item x="283"/>
        <item x="57"/>
        <item x="303"/>
        <item x="289"/>
        <item x="49"/>
        <item x="305"/>
        <item x="266"/>
        <item x="252"/>
        <item x="16"/>
        <item x="203"/>
        <item x="268"/>
        <item x="123"/>
        <item x="63"/>
        <item x="65"/>
        <item x="232"/>
        <item x="74"/>
        <item x="92"/>
        <item x="223"/>
        <item x="44"/>
        <item x="105"/>
        <item x="164"/>
        <item x="50"/>
        <item x="313"/>
        <item x="112"/>
        <item x="286"/>
        <item x="314"/>
        <item x="307"/>
        <item x="209"/>
        <item x="220"/>
        <item x="32"/>
        <item x="88"/>
        <item x="43"/>
        <item x="37"/>
        <item x="111"/>
        <item x="153"/>
        <item x="239"/>
        <item x="5"/>
        <item x="116"/>
        <item x="318"/>
        <item x="210"/>
        <item x="278"/>
        <item x="108"/>
        <item x="281"/>
        <item x="301"/>
        <item x="217"/>
        <item x="118"/>
        <item x="218"/>
        <item x="172"/>
        <item x="150"/>
        <item x="141"/>
        <item x="251"/>
        <item x="104"/>
        <item x="68"/>
        <item x="317"/>
        <item x="45"/>
        <item x="227"/>
        <item x="87"/>
        <item x="297"/>
        <item x="304"/>
        <item x="59"/>
        <item x="306"/>
        <item x="10"/>
        <item x="157"/>
        <item x="177"/>
        <item x="198"/>
        <item x="254"/>
        <item x="28"/>
        <item x="113"/>
        <item x="13"/>
        <item x="110"/>
        <item x="276"/>
        <item x="79"/>
        <item x="143"/>
        <item x="178"/>
        <item x="71"/>
        <item x="184"/>
        <item x="149"/>
        <item x="9"/>
        <item x="219"/>
        <item x="293"/>
        <item x="201"/>
        <item x="308"/>
        <item x="200"/>
        <item x="295"/>
        <item x="262"/>
        <item x="80"/>
        <item x="191"/>
        <item x="46"/>
        <item x="95"/>
        <item x="34"/>
        <item x="91"/>
        <item x="35"/>
        <item x="90"/>
        <item x="4"/>
        <item x="269"/>
        <item x="265"/>
        <item x="25"/>
        <item x="67"/>
        <item x="47"/>
        <item x="144"/>
        <item x="56"/>
        <item x="22"/>
        <item x="130"/>
        <item x="256"/>
        <item x="273"/>
        <item x="244"/>
        <item x="247"/>
        <item x="135"/>
        <item x="154"/>
        <item x="263"/>
        <item x="8"/>
        <item x="175"/>
        <item x="291"/>
        <item x="11"/>
        <item x="213"/>
        <item x="18"/>
        <item x="194"/>
        <item x="214"/>
        <item x="23"/>
        <item x="83"/>
        <item x="176"/>
        <item x="155"/>
        <item x="134"/>
        <item x="189"/>
        <item x="271"/>
        <item x="106"/>
        <item x="231"/>
        <item x="82"/>
        <item x="27"/>
        <item x="29"/>
        <item x="171"/>
        <item x="41"/>
        <item x="229"/>
        <item x="115"/>
        <item x="51"/>
        <item x="243"/>
        <item x="165"/>
        <item x="121"/>
        <item x="102"/>
        <item x="240"/>
        <item x="107"/>
        <item x="103"/>
        <item x="186"/>
        <item x="156"/>
        <item x="270"/>
        <item x="193"/>
        <item x="146"/>
        <item x="192"/>
        <item x="128"/>
        <item x="0"/>
        <item t="default"/>
      </items>
    </pivotField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4" baseField="0" baseItem="0"/>
    <dataField name="Sum of Sales" fld="11" baseField="0" baseItem="0"/>
  </dataFields>
  <chartFormats count="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72FFD-EABD-425E-BA9D-1629CE25979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28:E39" firstHeaderRow="1" firstDataRow="1" firstDataCol="1"/>
  <pivotFields count="21">
    <pivotField showAll="0"/>
    <pivotField showAll="0">
      <items count="323">
        <item x="230"/>
        <item x="158"/>
        <item x="300"/>
        <item x="279"/>
        <item x="54"/>
        <item x="152"/>
        <item x="221"/>
        <item x="138"/>
        <item x="320"/>
        <item x="86"/>
        <item x="119"/>
        <item x="311"/>
        <item x="38"/>
        <item x="131"/>
        <item x="39"/>
        <item x="222"/>
        <item x="100"/>
        <item x="89"/>
        <item x="182"/>
        <item x="275"/>
        <item x="132"/>
        <item x="124"/>
        <item x="15"/>
        <item x="58"/>
        <item x="237"/>
        <item x="185"/>
        <item x="142"/>
        <item x="136"/>
        <item x="72"/>
        <item x="3"/>
        <item x="228"/>
        <item x="288"/>
        <item x="96"/>
        <item x="197"/>
        <item x="169"/>
        <item x="52"/>
        <item x="298"/>
        <item x="145"/>
        <item x="255"/>
        <item x="140"/>
        <item x="31"/>
        <item x="285"/>
        <item x="216"/>
        <item x="20"/>
        <item x="148"/>
        <item x="296"/>
        <item x="236"/>
        <item x="94"/>
        <item x="299"/>
        <item x="315"/>
        <item x="238"/>
        <item x="137"/>
        <item x="24"/>
        <item x="280"/>
        <item x="109"/>
        <item x="294"/>
        <item x="139"/>
        <item x="287"/>
        <item x="188"/>
        <item x="30"/>
        <item x="248"/>
        <item x="81"/>
        <item x="126"/>
        <item x="147"/>
        <item x="242"/>
        <item x="312"/>
        <item x="98"/>
        <item x="290"/>
        <item x="257"/>
        <item x="114"/>
        <item x="235"/>
        <item x="127"/>
        <item x="61"/>
        <item x="302"/>
        <item x="316"/>
        <item x="122"/>
        <item x="309"/>
        <item x="180"/>
        <item x="163"/>
        <item x="62"/>
        <item x="274"/>
        <item x="1"/>
        <item x="6"/>
        <item x="179"/>
        <item x="166"/>
        <item x="161"/>
        <item x="204"/>
        <item x="168"/>
        <item x="207"/>
        <item x="233"/>
        <item x="101"/>
        <item x="260"/>
        <item x="55"/>
        <item x="7"/>
        <item x="36"/>
        <item x="53"/>
        <item x="129"/>
        <item x="212"/>
        <item x="14"/>
        <item x="17"/>
        <item x="208"/>
        <item x="93"/>
        <item x="226"/>
        <item x="195"/>
        <item x="2"/>
        <item x="33"/>
        <item x="167"/>
        <item x="174"/>
        <item x="205"/>
        <item x="264"/>
        <item x="282"/>
        <item x="190"/>
        <item x="21"/>
        <item x="284"/>
        <item x="26"/>
        <item x="253"/>
        <item x="272"/>
        <item x="259"/>
        <item x="261"/>
        <item x="215"/>
        <item x="48"/>
        <item x="250"/>
        <item x="117"/>
        <item x="159"/>
        <item x="12"/>
        <item x="69"/>
        <item x="206"/>
        <item x="19"/>
        <item x="162"/>
        <item x="258"/>
        <item x="78"/>
        <item x="196"/>
        <item x="99"/>
        <item x="321"/>
        <item x="76"/>
        <item x="183"/>
        <item x="249"/>
        <item x="85"/>
        <item x="181"/>
        <item x="125"/>
        <item x="224"/>
        <item x="241"/>
        <item x="151"/>
        <item x="211"/>
        <item x="187"/>
        <item x="66"/>
        <item x="225"/>
        <item x="40"/>
        <item x="133"/>
        <item x="170"/>
        <item x="60"/>
        <item x="120"/>
        <item x="234"/>
        <item x="292"/>
        <item x="202"/>
        <item x="64"/>
        <item x="277"/>
        <item x="199"/>
        <item x="173"/>
        <item x="42"/>
        <item x="73"/>
        <item x="160"/>
        <item x="75"/>
        <item x="70"/>
        <item x="246"/>
        <item x="84"/>
        <item x="77"/>
        <item x="245"/>
        <item x="319"/>
        <item x="267"/>
        <item x="310"/>
        <item x="97"/>
        <item x="283"/>
        <item x="57"/>
        <item x="303"/>
        <item x="289"/>
        <item x="49"/>
        <item x="305"/>
        <item x="266"/>
        <item x="252"/>
        <item x="16"/>
        <item x="203"/>
        <item x="268"/>
        <item x="123"/>
        <item x="63"/>
        <item x="65"/>
        <item x="232"/>
        <item x="74"/>
        <item x="92"/>
        <item x="223"/>
        <item x="44"/>
        <item x="105"/>
        <item x="164"/>
        <item x="50"/>
        <item x="313"/>
        <item x="112"/>
        <item x="286"/>
        <item x="314"/>
        <item x="307"/>
        <item x="209"/>
        <item x="220"/>
        <item x="32"/>
        <item x="88"/>
        <item x="43"/>
        <item x="37"/>
        <item x="111"/>
        <item x="153"/>
        <item x="239"/>
        <item x="5"/>
        <item x="116"/>
        <item x="318"/>
        <item x="210"/>
        <item x="278"/>
        <item x="108"/>
        <item x="281"/>
        <item x="301"/>
        <item x="217"/>
        <item x="118"/>
        <item x="218"/>
        <item x="172"/>
        <item x="150"/>
        <item x="141"/>
        <item x="251"/>
        <item x="104"/>
        <item x="68"/>
        <item x="317"/>
        <item x="45"/>
        <item x="227"/>
        <item x="87"/>
        <item x="297"/>
        <item x="304"/>
        <item x="59"/>
        <item x="306"/>
        <item x="10"/>
        <item x="157"/>
        <item x="177"/>
        <item x="198"/>
        <item x="254"/>
        <item x="28"/>
        <item x="113"/>
        <item x="13"/>
        <item x="110"/>
        <item x="276"/>
        <item x="79"/>
        <item x="143"/>
        <item x="178"/>
        <item x="71"/>
        <item x="184"/>
        <item x="149"/>
        <item x="9"/>
        <item x="219"/>
        <item x="293"/>
        <item x="201"/>
        <item x="308"/>
        <item x="200"/>
        <item x="295"/>
        <item x="262"/>
        <item x="80"/>
        <item x="191"/>
        <item x="46"/>
        <item x="95"/>
        <item x="34"/>
        <item x="91"/>
        <item x="35"/>
        <item x="90"/>
        <item x="4"/>
        <item x="269"/>
        <item x="265"/>
        <item x="25"/>
        <item x="67"/>
        <item x="47"/>
        <item x="144"/>
        <item x="56"/>
        <item x="22"/>
        <item x="130"/>
        <item x="256"/>
        <item x="273"/>
        <item x="244"/>
        <item x="247"/>
        <item x="135"/>
        <item x="154"/>
        <item x="263"/>
        <item x="8"/>
        <item x="175"/>
        <item x="291"/>
        <item x="11"/>
        <item x="213"/>
        <item x="18"/>
        <item x="194"/>
        <item x="214"/>
        <item x="23"/>
        <item x="83"/>
        <item x="176"/>
        <item x="155"/>
        <item x="134"/>
        <item x="189"/>
        <item x="271"/>
        <item x="106"/>
        <item x="231"/>
        <item x="82"/>
        <item x="27"/>
        <item x="29"/>
        <item x="171"/>
        <item x="41"/>
        <item x="229"/>
        <item x="115"/>
        <item x="51"/>
        <item x="243"/>
        <item x="165"/>
        <item x="121"/>
        <item x="102"/>
        <item x="240"/>
        <item x="107"/>
        <item x="103"/>
        <item x="186"/>
        <item x="156"/>
        <item x="270"/>
        <item x="193"/>
        <item x="146"/>
        <item x="192"/>
        <item x="128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axis="axisRow" showAll="0" measureFilter="1">
      <items count="301">
        <item x="85"/>
        <item x="213"/>
        <item x="232"/>
        <item x="218"/>
        <item x="46"/>
        <item x="120"/>
        <item x="269"/>
        <item x="169"/>
        <item x="34"/>
        <item x="98"/>
        <item x="249"/>
        <item x="142"/>
        <item x="63"/>
        <item x="105"/>
        <item x="231"/>
        <item x="122"/>
        <item x="139"/>
        <item x="251"/>
        <item x="210"/>
        <item x="176"/>
        <item x="199"/>
        <item x="17"/>
        <item x="90"/>
        <item x="217"/>
        <item x="108"/>
        <item x="102"/>
        <item x="238"/>
        <item x="288"/>
        <item x="189"/>
        <item x="37"/>
        <item x="78"/>
        <item x="204"/>
        <item x="273"/>
        <item x="155"/>
        <item x="234"/>
        <item x="292"/>
        <item x="178"/>
        <item x="258"/>
        <item x="68"/>
        <item x="202"/>
        <item x="41"/>
        <item x="243"/>
        <item x="75"/>
        <item x="99"/>
        <item x="119"/>
        <item x="290"/>
        <item x="59"/>
        <item x="160"/>
        <item x="9"/>
        <item x="225"/>
        <item x="149"/>
        <item x="55"/>
        <item x="48"/>
        <item x="65"/>
        <item x="286"/>
        <item x="143"/>
        <item x="274"/>
        <item x="248"/>
        <item x="298"/>
        <item x="230"/>
        <item x="42"/>
        <item x="296"/>
        <item x="237"/>
        <item x="227"/>
        <item x="266"/>
        <item x="19"/>
        <item x="256"/>
        <item x="71"/>
        <item x="51"/>
        <item x="236"/>
        <item x="92"/>
        <item x="121"/>
        <item x="62"/>
        <item x="6"/>
        <item x="27"/>
        <item x="168"/>
        <item x="212"/>
        <item x="97"/>
        <item x="25"/>
        <item x="222"/>
        <item x="211"/>
        <item x="20"/>
        <item x="220"/>
        <item x="268"/>
        <item x="246"/>
        <item x="285"/>
        <item x="181"/>
        <item x="162"/>
        <item x="116"/>
        <item x="126"/>
        <item x="244"/>
        <item x="124"/>
        <item x="8"/>
        <item x="255"/>
        <item x="10"/>
        <item x="74"/>
        <item x="0"/>
        <item x="280"/>
        <item x="297"/>
        <item x="91"/>
        <item x="82"/>
        <item x="267"/>
        <item x="289"/>
        <item x="35"/>
        <item x="294"/>
        <item x="13"/>
        <item x="161"/>
        <item x="295"/>
        <item x="26"/>
        <item x="262"/>
        <item x="16"/>
        <item x="11"/>
        <item x="215"/>
        <item x="138"/>
        <item x="80"/>
        <item x="221"/>
        <item x="32"/>
        <item x="127"/>
        <item x="23"/>
        <item x="172"/>
        <item x="171"/>
        <item x="15"/>
        <item x="208"/>
        <item x="95"/>
        <item x="69"/>
        <item x="53"/>
        <item x="115"/>
        <item x="206"/>
        <item x="150"/>
        <item x="182"/>
        <item x="49"/>
        <item x="186"/>
        <item x="287"/>
        <item x="185"/>
        <item x="223"/>
        <item x="164"/>
        <item x="88"/>
        <item x="175"/>
        <item x="247"/>
        <item x="195"/>
        <item x="180"/>
        <item x="60"/>
        <item x="174"/>
        <item x="18"/>
        <item x="167"/>
        <item x="270"/>
        <item x="152"/>
        <item x="76"/>
        <item x="86"/>
        <item x="36"/>
        <item x="81"/>
        <item x="4"/>
        <item x="293"/>
        <item x="111"/>
        <item x="89"/>
        <item x="87"/>
        <item x="52"/>
        <item x="66"/>
        <item x="12"/>
        <item x="284"/>
        <item x="190"/>
        <item x="253"/>
        <item x="271"/>
        <item x="3"/>
        <item x="254"/>
        <item x="264"/>
        <item x="184"/>
        <item x="103"/>
        <item x="170"/>
        <item x="31"/>
        <item x="275"/>
        <item x="154"/>
        <item x="132"/>
        <item x="250"/>
        <item x="291"/>
        <item x="70"/>
        <item x="229"/>
        <item x="114"/>
        <item x="112"/>
        <item x="257"/>
        <item x="7"/>
        <item x="233"/>
        <item x="144"/>
        <item x="188"/>
        <item x="177"/>
        <item x="58"/>
        <item x="44"/>
        <item x="118"/>
        <item x="29"/>
        <item x="214"/>
        <item x="113"/>
        <item x="61"/>
        <item x="245"/>
        <item x="209"/>
        <item x="83"/>
        <item x="96"/>
        <item x="163"/>
        <item x="24"/>
        <item x="57"/>
        <item x="197"/>
        <item x="277"/>
        <item x="276"/>
        <item x="67"/>
        <item x="125"/>
        <item x="279"/>
        <item x="106"/>
        <item x="45"/>
        <item x="191"/>
        <item x="283"/>
        <item x="77"/>
        <item x="198"/>
        <item x="147"/>
        <item x="219"/>
        <item x="193"/>
        <item x="110"/>
        <item x="22"/>
        <item x="64"/>
        <item x="241"/>
        <item x="148"/>
        <item x="79"/>
        <item x="72"/>
        <item x="141"/>
        <item x="28"/>
        <item x="173"/>
        <item x="21"/>
        <item x="282"/>
        <item x="14"/>
        <item x="136"/>
        <item x="240"/>
        <item x="101"/>
        <item x="109"/>
        <item x="73"/>
        <item x="261"/>
        <item x="33"/>
        <item x="165"/>
        <item x="272"/>
        <item x="259"/>
        <item x="133"/>
        <item x="135"/>
        <item x="252"/>
        <item x="183"/>
        <item x="129"/>
        <item x="260"/>
        <item x="1"/>
        <item x="159"/>
        <item x="203"/>
        <item x="30"/>
        <item x="263"/>
        <item x="146"/>
        <item x="123"/>
        <item x="134"/>
        <item x="192"/>
        <item x="47"/>
        <item x="50"/>
        <item x="187"/>
        <item x="145"/>
        <item x="54"/>
        <item x="207"/>
        <item x="216"/>
        <item x="131"/>
        <item x="265"/>
        <item x="278"/>
        <item x="107"/>
        <item x="201"/>
        <item x="194"/>
        <item x="239"/>
        <item x="235"/>
        <item x="166"/>
        <item x="5"/>
        <item x="128"/>
        <item x="38"/>
        <item x="151"/>
        <item x="39"/>
        <item x="43"/>
        <item x="117"/>
        <item x="226"/>
        <item x="2"/>
        <item x="196"/>
        <item x="158"/>
        <item x="140"/>
        <item x="242"/>
        <item x="137"/>
        <item x="84"/>
        <item x="153"/>
        <item x="157"/>
        <item x="93"/>
        <item x="179"/>
        <item x="200"/>
        <item x="156"/>
        <item x="40"/>
        <item x="224"/>
        <item x="104"/>
        <item x="228"/>
        <item x="56"/>
        <item x="130"/>
        <item x="100"/>
        <item x="94"/>
        <item x="205"/>
        <item x="281"/>
        <item x="299"/>
        <item t="default"/>
      </items>
    </pivotField>
    <pivotField dataField="1" showAll="0">
      <items count="502">
        <item x="445"/>
        <item x="456"/>
        <item x="135"/>
        <item x="208"/>
        <item x="71"/>
        <item x="336"/>
        <item x="281"/>
        <item x="488"/>
        <item x="454"/>
        <item x="465"/>
        <item x="322"/>
        <item x="254"/>
        <item x="27"/>
        <item x="1"/>
        <item x="39"/>
        <item x="198"/>
        <item x="160"/>
        <item x="331"/>
        <item x="249"/>
        <item x="253"/>
        <item x="269"/>
        <item x="386"/>
        <item x="458"/>
        <item x="301"/>
        <item x="33"/>
        <item x="146"/>
        <item x="417"/>
        <item x="303"/>
        <item x="100"/>
        <item x="56"/>
        <item x="88"/>
        <item x="315"/>
        <item x="453"/>
        <item x="365"/>
        <item x="221"/>
        <item x="266"/>
        <item x="298"/>
        <item x="131"/>
        <item x="243"/>
        <item x="102"/>
        <item x="481"/>
        <item x="276"/>
        <item x="134"/>
        <item x="7"/>
        <item x="110"/>
        <item x="48"/>
        <item x="14"/>
        <item x="344"/>
        <item x="277"/>
        <item x="369"/>
        <item x="2"/>
        <item x="261"/>
        <item x="270"/>
        <item x="289"/>
        <item x="440"/>
        <item x="349"/>
        <item x="113"/>
        <item x="154"/>
        <item x="273"/>
        <item x="190"/>
        <item x="304"/>
        <item x="390"/>
        <item x="287"/>
        <item x="441"/>
        <item x="398"/>
        <item x="309"/>
        <item x="75"/>
        <item x="397"/>
        <item x="186"/>
        <item x="240"/>
        <item x="321"/>
        <item x="67"/>
        <item x="377"/>
        <item x="37"/>
        <item x="210"/>
        <item x="427"/>
        <item x="477"/>
        <item x="152"/>
        <item x="176"/>
        <item x="314"/>
        <item x="436"/>
        <item x="129"/>
        <item x="70"/>
        <item x="278"/>
        <item x="124"/>
        <item x="236"/>
        <item x="403"/>
        <item x="296"/>
        <item x="237"/>
        <item x="184"/>
        <item x="40"/>
        <item x="391"/>
        <item x="493"/>
        <item x="483"/>
        <item x="318"/>
        <item x="15"/>
        <item x="149"/>
        <item x="206"/>
        <item x="130"/>
        <item x="54"/>
        <item x="145"/>
        <item x="452"/>
        <item x="339"/>
        <item x="393"/>
        <item x="125"/>
        <item x="259"/>
        <item x="128"/>
        <item x="474"/>
        <item x="385"/>
        <item x="348"/>
        <item x="151"/>
        <item x="422"/>
        <item x="163"/>
        <item x="361"/>
        <item x="358"/>
        <item x="49"/>
        <item x="387"/>
        <item x="419"/>
        <item x="352"/>
        <item x="354"/>
        <item x="140"/>
        <item x="64"/>
        <item x="356"/>
        <item x="274"/>
        <item x="455"/>
        <item x="411"/>
        <item x="226"/>
        <item x="415"/>
        <item x="268"/>
        <item x="0"/>
        <item x="182"/>
        <item x="211"/>
        <item x="305"/>
        <item x="55"/>
        <item x="50"/>
        <item x="147"/>
        <item x="136"/>
        <item x="424"/>
        <item x="484"/>
        <item x="191"/>
        <item x="31"/>
        <item x="239"/>
        <item x="491"/>
        <item x="449"/>
        <item x="62"/>
        <item x="87"/>
        <item x="195"/>
        <item x="194"/>
        <item x="60"/>
        <item x="347"/>
        <item x="486"/>
        <item x="83"/>
        <item x="10"/>
        <item x="142"/>
        <item x="251"/>
        <item x="357"/>
        <item x="244"/>
        <item x="299"/>
        <item x="473"/>
        <item x="461"/>
        <item x="378"/>
        <item x="238"/>
        <item x="408"/>
        <item x="159"/>
        <item x="44"/>
        <item x="333"/>
        <item x="59"/>
        <item x="407"/>
        <item x="258"/>
        <item x="241"/>
        <item x="201"/>
        <item x="286"/>
        <item x="271"/>
        <item x="372"/>
        <item x="490"/>
        <item x="310"/>
        <item x="468"/>
        <item x="313"/>
        <item x="341"/>
        <item x="374"/>
        <item x="209"/>
        <item x="80"/>
        <item x="153"/>
        <item x="203"/>
        <item x="5"/>
        <item x="280"/>
        <item x="179"/>
        <item x="95"/>
        <item x="231"/>
        <item x="330"/>
        <item x="213"/>
        <item x="426"/>
        <item x="94"/>
        <item x="498"/>
        <item x="52"/>
        <item x="425"/>
        <item x="317"/>
        <item x="326"/>
        <item x="290"/>
        <item x="421"/>
        <item x="114"/>
        <item x="255"/>
        <item x="133"/>
        <item x="187"/>
        <item x="396"/>
        <item x="250"/>
        <item x="360"/>
        <item x="45"/>
        <item x="177"/>
        <item x="107"/>
        <item x="141"/>
        <item x="93"/>
        <item x="412"/>
        <item x="120"/>
        <item x="311"/>
        <item x="155"/>
        <item x="247"/>
        <item x="180"/>
        <item x="12"/>
        <item x="84"/>
        <item x="216"/>
        <item x="401"/>
        <item x="65"/>
        <item x="370"/>
        <item x="409"/>
        <item x="335"/>
        <item x="229"/>
        <item x="466"/>
        <item x="167"/>
        <item x="404"/>
        <item x="174"/>
        <item x="232"/>
        <item x="109"/>
        <item x="460"/>
        <item x="57"/>
        <item x="6"/>
        <item x="334"/>
        <item x="283"/>
        <item x="30"/>
        <item x="9"/>
        <item x="106"/>
        <item x="480"/>
        <item x="492"/>
        <item x="343"/>
        <item x="496"/>
        <item x="450"/>
        <item x="383"/>
        <item x="367"/>
        <item x="470"/>
        <item x="234"/>
        <item x="464"/>
        <item x="395"/>
        <item x="431"/>
        <item x="446"/>
        <item x="363"/>
        <item x="112"/>
        <item x="371"/>
        <item x="327"/>
        <item x="47"/>
        <item x="143"/>
        <item x="165"/>
        <item x="379"/>
        <item x="205"/>
        <item x="91"/>
        <item x="46"/>
        <item x="96"/>
        <item x="144"/>
        <item x="43"/>
        <item x="345"/>
        <item x="161"/>
        <item x="89"/>
        <item x="429"/>
        <item x="101"/>
        <item x="479"/>
        <item x="439"/>
        <item x="97"/>
        <item x="185"/>
        <item x="19"/>
        <item x="499"/>
        <item x="103"/>
        <item x="423"/>
        <item x="119"/>
        <item x="166"/>
        <item x="260"/>
        <item x="388"/>
        <item x="188"/>
        <item x="90"/>
        <item x="444"/>
        <item x="3"/>
        <item x="222"/>
        <item x="61"/>
        <item x="207"/>
        <item x="68"/>
        <item x="359"/>
        <item x="346"/>
        <item x="23"/>
        <item x="204"/>
        <item x="196"/>
        <item x="351"/>
        <item x="223"/>
        <item x="355"/>
        <item x="438"/>
        <item x="51"/>
        <item x="442"/>
        <item x="20"/>
        <item x="164"/>
        <item x="451"/>
        <item x="78"/>
        <item x="242"/>
        <item x="284"/>
        <item x="262"/>
        <item x="366"/>
        <item x="323"/>
        <item x="11"/>
        <item x="81"/>
        <item x="350"/>
        <item x="476"/>
        <item x="42"/>
        <item x="105"/>
        <item x="495"/>
        <item x="172"/>
        <item x="108"/>
        <item x="25"/>
        <item x="437"/>
        <item x="389"/>
        <item x="457"/>
        <item x="497"/>
        <item x="34"/>
        <item x="189"/>
        <item x="448"/>
        <item x="340"/>
        <item x="489"/>
        <item x="69"/>
        <item x="79"/>
        <item x="17"/>
        <item x="139"/>
        <item x="29"/>
        <item x="272"/>
        <item x="228"/>
        <item x="168"/>
        <item x="8"/>
        <item x="92"/>
        <item x="219"/>
        <item x="405"/>
        <item x="98"/>
        <item x="463"/>
        <item x="394"/>
        <item x="169"/>
        <item x="220"/>
        <item x="434"/>
        <item x="368"/>
        <item x="265"/>
        <item x="485"/>
        <item x="156"/>
        <item x="459"/>
        <item x="115"/>
        <item x="212"/>
        <item x="307"/>
        <item x="41"/>
        <item x="293"/>
        <item x="36"/>
        <item x="193"/>
        <item x="469"/>
        <item x="137"/>
        <item x="252"/>
        <item x="99"/>
        <item x="132"/>
        <item x="122"/>
        <item x="494"/>
        <item x="170"/>
        <item x="414"/>
        <item x="487"/>
        <item x="275"/>
        <item x="181"/>
        <item x="332"/>
        <item x="256"/>
        <item x="233"/>
        <item x="217"/>
        <item x="467"/>
        <item x="362"/>
        <item x="82"/>
        <item x="384"/>
        <item x="324"/>
        <item x="53"/>
        <item x="66"/>
        <item x="86"/>
        <item x="32"/>
        <item x="353"/>
        <item x="118"/>
        <item x="435"/>
        <item x="416"/>
        <item x="418"/>
        <item x="342"/>
        <item x="197"/>
        <item x="364"/>
        <item x="225"/>
        <item x="381"/>
        <item x="77"/>
        <item x="199"/>
        <item x="257"/>
        <item x="285"/>
        <item x="375"/>
        <item x="116"/>
        <item x="319"/>
        <item x="4"/>
        <item x="302"/>
        <item x="475"/>
        <item x="245"/>
        <item x="264"/>
        <item x="420"/>
        <item x="297"/>
        <item x="392"/>
        <item x="121"/>
        <item x="279"/>
        <item x="308"/>
        <item x="447"/>
        <item x="402"/>
        <item x="328"/>
        <item x="373"/>
        <item x="150"/>
        <item x="76"/>
        <item x="428"/>
        <item x="200"/>
        <item x="202"/>
        <item x="294"/>
        <item x="399"/>
        <item x="325"/>
        <item x="127"/>
        <item x="21"/>
        <item x="406"/>
        <item x="306"/>
        <item x="22"/>
        <item x="282"/>
        <item x="312"/>
        <item x="267"/>
        <item x="138"/>
        <item x="292"/>
        <item x="471"/>
        <item x="478"/>
        <item x="74"/>
        <item x="24"/>
        <item x="13"/>
        <item x="263"/>
        <item x="85"/>
        <item x="162"/>
        <item x="123"/>
        <item x="18"/>
        <item x="338"/>
        <item x="215"/>
        <item x="291"/>
        <item x="380"/>
        <item x="175"/>
        <item x="26"/>
        <item x="16"/>
        <item x="382"/>
        <item x="376"/>
        <item x="111"/>
        <item x="117"/>
        <item x="171"/>
        <item x="235"/>
        <item x="148"/>
        <item x="178"/>
        <item x="38"/>
        <item x="337"/>
        <item x="214"/>
        <item x="183"/>
        <item x="462"/>
        <item x="443"/>
        <item x="288"/>
        <item x="320"/>
        <item x="192"/>
        <item x="300"/>
        <item x="173"/>
        <item x="400"/>
        <item x="432"/>
        <item x="430"/>
        <item x="28"/>
        <item x="329"/>
        <item x="227"/>
        <item x="295"/>
        <item x="104"/>
        <item x="316"/>
        <item x="472"/>
        <item x="410"/>
        <item x="248"/>
        <item x="224"/>
        <item x="73"/>
        <item x="218"/>
        <item x="246"/>
        <item x="157"/>
        <item x="63"/>
        <item x="482"/>
        <item x="35"/>
        <item x="433"/>
        <item x="413"/>
        <item x="158"/>
        <item x="230"/>
        <item x="72"/>
        <item x="58"/>
        <item x="126"/>
        <item x="50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11">
    <i>
      <x v="73"/>
    </i>
    <i>
      <x v="78"/>
    </i>
    <i>
      <x v="87"/>
    </i>
    <i>
      <x v="151"/>
    </i>
    <i>
      <x v="222"/>
    </i>
    <i>
      <x v="227"/>
    </i>
    <i>
      <x v="253"/>
    </i>
    <i>
      <x v="274"/>
    </i>
    <i>
      <x v="282"/>
    </i>
    <i>
      <x v="295"/>
    </i>
    <i t="grand">
      <x/>
    </i>
  </rowItems>
  <colItems count="1">
    <i/>
  </colItems>
  <dataFields count="1">
    <dataField name="Sum of Sales" fld="11" baseField="1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BDE60B5-CA23-497C-B684-45ABC86BF6EE}" autoFormatId="16" applyNumberFormats="0" applyBorderFormats="0" applyFontFormats="0" applyPatternFormats="0" applyAlignmentFormats="0" applyWidthHeightFormats="0">
  <queryTableRefresh nextId="20" unboundColumnsRight="2">
    <queryTableFields count="18">
      <queryTableField id="1" name="Order ID" tableColumnId="1"/>
      <queryTableField id="3" name="order date" tableColumnId="3"/>
      <queryTableField id="4" name="Ship Date" tableColumnId="4"/>
      <queryTableField id="5" name="Customer Name" tableColumnId="5"/>
      <queryTableField id="6" name="Segment" tableColumnId="6"/>
      <queryTableField id="7" name="Country" tableColumnId="7"/>
      <queryTableField id="8" name="City" tableColumnId="8"/>
      <queryTableField id="9" name="Region" tableColumnId="9"/>
      <queryTableField id="10" name="Category" tableColumnId="10"/>
      <queryTableField id="11" name="Sub-Category" tableColumnId="11"/>
      <queryTableField id="12" name="Product Name" tableColumnId="12"/>
      <queryTableField id="13" name="Sales" tableColumnId="13"/>
      <queryTableField id="14" name="Quantity" tableColumnId="14"/>
      <queryTableField id="15" name="Discount" tableColumnId="15"/>
      <queryTableField id="16" name="Profit" tableColumnId="16"/>
      <queryTableField id="17" name="price per quantity" tableColumnId="17"/>
      <queryTableField id="18" dataBound="0" tableColumnId="18"/>
      <queryTableField id="19" dataBound="0" tableColumnId="19"/>
    </queryTableFields>
    <queryTableDeletedFields count="1">
      <deletedField name="order date cleane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461728-8BB0-4068-BBDE-854E8F0FB987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Order ID" tableColumnId="1"/>
      <queryTableField id="16" dataBound="0" tableColumnId="18"/>
      <queryTableField id="2" name="Order Date" tableColumnId="2"/>
      <queryTableField id="3" name="Ship Date" tableColumnId="3"/>
      <queryTableField id="4" name="Customer Name" tableColumnId="4"/>
      <queryTableField id="5" name="Segment" tableColumnId="5"/>
      <queryTableField id="6" name="Country" tableColumnId="6"/>
      <queryTableField id="7" name="City" tableColumnId="7"/>
      <queryTableField id="8" name="Region" tableColumnId="8"/>
      <queryTableField id="9" name="Category" tableColumnId="9"/>
      <queryTableField id="10" name="Sub-Category" tableColumnId="10"/>
      <queryTableField id="11" name="Product Name" tableColumnId="11"/>
      <queryTableField id="12" name="Sales" tableColumnId="12"/>
      <queryTableField id="13" name="Quantity" tableColumnId="13"/>
      <queryTableField id="14" name="Discount" tableColumnId="14"/>
      <queryTableField id="15" name="Profit" tableColumnId="15"/>
      <queryTableField id="17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61A5F0-D85B-4B10-A8AA-FADC261B6B95}" name="Table1_2" displayName="Table1_2" ref="A1:R501" tableType="queryTable" totalsRowShown="0">
  <autoFilter ref="A1:R501" xr:uid="{B361A5F0-D85B-4B10-A8AA-FADC261B6B95}">
    <filterColumn colId="16">
      <filters>
        <filter val="1"/>
        <filter val="10"/>
        <filter val="121"/>
        <filter val="128"/>
        <filter val="156"/>
        <filter val="177"/>
        <filter val="2"/>
        <filter val="215"/>
        <filter val="239"/>
        <filter val="244"/>
        <filter val="268"/>
        <filter val="29"/>
        <filter val="3"/>
        <filter val="32"/>
        <filter val="34"/>
        <filter val="35"/>
        <filter val="36"/>
        <filter val="37"/>
        <filter val="4"/>
        <filter val="5"/>
        <filter val="6"/>
        <filter val="62"/>
        <filter val="63"/>
        <filter val="64"/>
        <filter val="68"/>
        <filter val="69"/>
        <filter val="7"/>
        <filter val="8"/>
        <filter val="9"/>
        <filter val="92"/>
        <filter val="94"/>
      </filters>
    </filterColumn>
  </autoFilter>
  <tableColumns count="18">
    <tableColumn id="1" xr3:uid="{6DE48863-A2BE-4519-890E-4EDD8341062A}" uniqueName="1" name="Order ID" queryTableFieldId="1" dataDxfId="31"/>
    <tableColumn id="3" xr3:uid="{F8CC46E7-D388-4E19-BAF8-99D793FE628F}" uniqueName="3" name="order date" queryTableFieldId="3" dataDxfId="30"/>
    <tableColumn id="4" xr3:uid="{505992BA-7124-4E63-9A6A-CC9503904359}" uniqueName="4" name="Ship Date" queryTableFieldId="4" dataDxfId="29"/>
    <tableColumn id="5" xr3:uid="{EAA322D1-AD02-4F2F-9122-C3D1523B3724}" uniqueName="5" name="Customer Name" queryTableFieldId="5" dataDxfId="28"/>
    <tableColumn id="6" xr3:uid="{8BC74A38-071C-4D86-A2A3-FEB9F7EBC567}" uniqueName="6" name="Segment" queryTableFieldId="6" dataDxfId="27"/>
    <tableColumn id="7" xr3:uid="{D8A0AB7D-ECEB-47AF-A0F3-B9F317065BAC}" uniqueName="7" name="Country" queryTableFieldId="7" dataDxfId="26"/>
    <tableColumn id="8" xr3:uid="{83E81C9B-87A1-4F6A-9AB9-44C55CEEE14F}" uniqueName="8" name="City" queryTableFieldId="8" dataDxfId="25"/>
    <tableColumn id="9" xr3:uid="{2FDF69BB-01D8-4837-AD85-C4F8D3F519B3}" uniqueName="9" name="Region" queryTableFieldId="9" dataDxfId="24"/>
    <tableColumn id="10" xr3:uid="{8C826696-AE1F-4022-8F88-E2BE6C3A3F42}" uniqueName="10" name="Category" queryTableFieldId="10" dataDxfId="23"/>
    <tableColumn id="11" xr3:uid="{4778E6FF-621C-456D-823A-ADF4A10E7667}" uniqueName="11" name="Sub-Category" queryTableFieldId="11" dataDxfId="22"/>
    <tableColumn id="12" xr3:uid="{3B77BFAA-A556-49B9-8BB7-92545C3A8C05}" uniqueName="12" name="Product Name" queryTableFieldId="12" dataDxfId="21"/>
    <tableColumn id="13" xr3:uid="{35DF4BB8-D8E6-47B5-A3B7-8E204CFD19EB}" uniqueName="13" name="Sales" queryTableFieldId="13"/>
    <tableColumn id="14" xr3:uid="{6183A11C-B84F-4781-B0F0-B235F53DCC32}" uniqueName="14" name="Quantity" queryTableFieldId="14"/>
    <tableColumn id="15" xr3:uid="{0E6EA980-F0BA-4200-91DC-55B836B629B4}" uniqueName="15" name="Discount" queryTableFieldId="15"/>
    <tableColumn id="16" xr3:uid="{9CFDC46A-5B27-4720-84B9-68274A9E6F23}" uniqueName="16" name="Profit" queryTableFieldId="16"/>
    <tableColumn id="17" xr3:uid="{D5B6CD93-0489-41AD-986A-035A34579033}" uniqueName="17" name="price per quantity" queryTableFieldId="17"/>
    <tableColumn id="18" xr3:uid="{0D62A525-8F68-4D58-83A2-EC7B552E02F9}" uniqueName="18" name="delivery days" queryTableFieldId="18" dataDxfId="20">
      <calculatedColumnFormula>Table1_2[[#This Row],[Ship Date]]-Table1_2[[#This Row],[order date]]</calculatedColumnFormula>
    </tableColumn>
    <tableColumn id="19" xr3:uid="{DFCF3D7A-75B5-4437-BE5F-4C9752F2E12F}" uniqueName="19" name="profit margin" queryTableFieldId="19" dataDxfId="19">
      <calculatedColumnFormula>Table1_2[[#This Row],[Profit]]/Table1_2[[#This Row],[Sales]]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BD24B3-1206-4A66-8AF9-992EFB99788B}" name="Table1_1" displayName="Table1_1" ref="A1:Q501" tableType="queryTable" totalsRowShown="0">
  <autoFilter ref="A1:Q501" xr:uid="{17BD24B3-1206-4A66-8AF9-992EFB99788B}">
    <filterColumn colId="1">
      <filters>
        <dateGroupItem year="2024" dateTimeGrouping="year"/>
        <dateGroupItem year="2023" dateTimeGrouping="year"/>
        <dateGroupItem year="2022" dateTimeGrouping="year"/>
      </filters>
    </filterColumn>
  </autoFilter>
  <tableColumns count="17">
    <tableColumn id="1" xr3:uid="{C70AC39C-40CD-4FF1-93E4-B65337588B4A}" uniqueName="1" name="Order ID" queryTableFieldId="1" dataDxfId="18"/>
    <tableColumn id="18" xr3:uid="{462E8951-11E3-4AF4-9450-C754A6FF14CA}" uniqueName="18" name="order date cleaned" queryTableFieldId="16" dataDxfId="17">
      <calculatedColumnFormula>DATEVALUE(C2)</calculatedColumnFormula>
    </tableColumn>
    <tableColumn id="2" xr3:uid="{A223DD7B-982B-4994-846F-B4C0295A6520}" uniqueName="2" name="order date" queryTableFieldId="2" dataDxfId="16"/>
    <tableColumn id="3" xr3:uid="{2A403D4C-CF86-40D3-A06D-D2684163D921}" uniqueName="3" name="Ship Date" queryTableFieldId="3" dataDxfId="15"/>
    <tableColumn id="4" xr3:uid="{FFF91566-740F-42E8-B8C0-39D52B18887A}" uniqueName="4" name="Customer Name" queryTableFieldId="4" dataDxfId="14"/>
    <tableColumn id="5" xr3:uid="{3C6EDED5-F04E-4819-A6ED-AF92E2D50346}" uniqueName="5" name="Segment" queryTableFieldId="5" dataDxfId="13"/>
    <tableColumn id="6" xr3:uid="{10D0E8D1-2DE1-493F-B421-F9608F2FC2D8}" uniqueName="6" name="Country" queryTableFieldId="6" dataDxfId="12"/>
    <tableColumn id="7" xr3:uid="{90356521-7EB5-4A20-8C4B-3EBEEDAED9FB}" uniqueName="7" name="City" queryTableFieldId="7" dataDxfId="11"/>
    <tableColumn id="8" xr3:uid="{25D41383-7A91-4A92-BF50-F72EA887D592}" uniqueName="8" name="Region" queryTableFieldId="8" dataDxfId="10"/>
    <tableColumn id="9" xr3:uid="{A99B7407-3216-4DB3-9B22-E38924CEB4D1}" uniqueName="9" name="Category" queryTableFieldId="9" dataDxfId="9"/>
    <tableColumn id="10" xr3:uid="{F04A7BB1-C330-470E-996A-D5504A05A43C}" uniqueName="10" name="Sub-Category" queryTableFieldId="10" dataDxfId="8"/>
    <tableColumn id="11" xr3:uid="{58354B53-D2E1-4E6E-B350-A93B76BD1319}" uniqueName="11" name="Product Name" queryTableFieldId="11" dataDxfId="7"/>
    <tableColumn id="12" xr3:uid="{6ACF4CA0-80B7-43E5-B9B4-21DB3C8B6A3A}" uniqueName="12" name="Sales" queryTableFieldId="12" dataDxfId="6"/>
    <tableColumn id="13" xr3:uid="{7A36DA9F-4E0C-42D2-B404-9365A5F884EE}" uniqueName="13" name="Quantity" queryTableFieldId="13"/>
    <tableColumn id="14" xr3:uid="{5B522CDB-066B-4A7C-8304-1313EFB43DFC}" uniqueName="14" name="Discount" queryTableFieldId="14" dataDxfId="5"/>
    <tableColumn id="15" xr3:uid="{7004725A-8BDE-440D-BC24-CF262BB9A07D}" uniqueName="15" name="Profit" queryTableFieldId="15" dataDxfId="4"/>
    <tableColumn id="20" xr3:uid="{A9FD4CC8-027A-40AF-B451-FF1BC0597093}" uniqueName="20" name="price per quantity" queryTableFieldId="17" dataDxfId="3">
      <calculatedColumnFormula>Table1_1[[#This Row],[Sales]]/Table1_1[[#This Row],[Quantity]]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988B9-22C5-4A2F-9C2C-7D981D57DE9A}" name="Table1" displayName="Table1" ref="A1:O521" totalsRowShown="0" headerRowDxfId="2" headerRowBorderDxfId="1" tableBorderDxfId="0">
  <autoFilter ref="A1:O521" xr:uid="{9D4988B9-22C5-4A2F-9C2C-7D981D57DE9A}"/>
  <tableColumns count="15">
    <tableColumn id="1" xr3:uid="{62164BB9-98F5-4320-B6A4-ACB14328E92F}" name="Order ID"/>
    <tableColumn id="2" xr3:uid="{C9B66400-AC88-4F7F-92AE-2C094E8DD75C}" name="Order Date"/>
    <tableColumn id="3" xr3:uid="{15E40AF2-0004-4B9D-9753-BECB3531CF04}" name="Ship Date"/>
    <tableColumn id="4" xr3:uid="{8A1C620E-0D58-4072-B53A-821E7A2D2A98}" name="Customer Name"/>
    <tableColumn id="5" xr3:uid="{5B6B102E-F65A-4959-A887-2AD8BF076441}" name="Segment"/>
    <tableColumn id="6" xr3:uid="{913E7191-A0B9-4036-86C8-E441A123ACF7}" name="Country"/>
    <tableColumn id="7" xr3:uid="{03D89261-C2E4-4322-8567-226345E871A0}" name="City"/>
    <tableColumn id="8" xr3:uid="{D2D54E4C-686A-4000-A12D-3455655993A7}" name="Region"/>
    <tableColumn id="9" xr3:uid="{5A85DCEE-3FFE-49FB-9919-E783C439E191}" name="Category"/>
    <tableColumn id="10" xr3:uid="{6D12644C-2B99-4028-828C-A9580F981480}" name="Sub-Category"/>
    <tableColumn id="11" xr3:uid="{7DB57CD9-7BA2-470C-B1FD-F17A04E400B5}" name="Product Name"/>
    <tableColumn id="12" xr3:uid="{3320A072-E536-4847-BA80-4453125B5C43}" name="Sales"/>
    <tableColumn id="13" xr3:uid="{EC4474EE-F93A-4C52-892C-466251275F84}" name="Quantity"/>
    <tableColumn id="14" xr3:uid="{5EFB3C26-8142-4C95-A6AC-4CFFA0B23C1C}" name="Discount"/>
    <tableColumn id="15" xr3:uid="{EC82978B-053A-41DA-BCA2-836065CC460E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64C8-048C-4303-B25C-1721E4958388}">
  <dimension ref="B3:R39"/>
  <sheetViews>
    <sheetView zoomScale="59" workbookViewId="0">
      <selection activeCell="W10" sqref="W10"/>
    </sheetView>
  </sheetViews>
  <sheetFormatPr defaultRowHeight="14.4" x14ac:dyDescent="0.3"/>
  <cols>
    <col min="1" max="1" width="12.5546875" bestFit="1" customWidth="1"/>
    <col min="2" max="3" width="11.6640625" bestFit="1" customWidth="1"/>
    <col min="5" max="5" width="13.109375" bestFit="1" customWidth="1"/>
    <col min="6" max="6" width="12.109375" bestFit="1" customWidth="1"/>
    <col min="7" max="7" width="11.6640625" bestFit="1" customWidth="1"/>
    <col min="9" max="9" width="18" bestFit="1" customWidth="1"/>
    <col min="10" max="10" width="11.6640625" bestFit="1" customWidth="1"/>
    <col min="12" max="12" width="12.5546875" bestFit="1" customWidth="1"/>
    <col min="13" max="14" width="11.6640625" bestFit="1" customWidth="1"/>
  </cols>
  <sheetData>
    <row r="3" spans="2:18" x14ac:dyDescent="0.3">
      <c r="B3" s="4" t="s">
        <v>2002</v>
      </c>
      <c r="C3" t="s">
        <v>2004</v>
      </c>
      <c r="F3" s="4" t="s">
        <v>2002</v>
      </c>
      <c r="G3" t="s">
        <v>2005</v>
      </c>
      <c r="K3" s="4" t="s">
        <v>2002</v>
      </c>
      <c r="L3" t="s">
        <v>2005</v>
      </c>
      <c r="M3" t="s">
        <v>2004</v>
      </c>
      <c r="Q3" s="4" t="s">
        <v>2002</v>
      </c>
      <c r="R3" t="s">
        <v>2004</v>
      </c>
    </row>
    <row r="4" spans="2:18" x14ac:dyDescent="0.3">
      <c r="B4" s="5" t="s">
        <v>1391</v>
      </c>
      <c r="C4">
        <v>66756.97000000003</v>
      </c>
      <c r="F4" s="5" t="s">
        <v>1392</v>
      </c>
      <c r="G4">
        <v>5302.7099999999964</v>
      </c>
      <c r="K4" s="5" t="s">
        <v>1375</v>
      </c>
      <c r="L4">
        <v>4782.4399999999987</v>
      </c>
      <c r="M4">
        <v>99285.010000000009</v>
      </c>
      <c r="Q4" s="5" t="s">
        <v>2006</v>
      </c>
      <c r="R4">
        <v>75276.410000000033</v>
      </c>
    </row>
    <row r="5" spans="2:18" x14ac:dyDescent="0.3">
      <c r="B5" s="5" t="s">
        <v>1388</v>
      </c>
      <c r="C5">
        <v>88837.250000000029</v>
      </c>
      <c r="F5" s="5" t="s">
        <v>1393</v>
      </c>
      <c r="G5">
        <v>5551.08</v>
      </c>
      <c r="K5" s="5" t="s">
        <v>1376</v>
      </c>
      <c r="L5">
        <v>3583.4499999999994</v>
      </c>
      <c r="M5">
        <v>110902.04000000004</v>
      </c>
      <c r="Q5" s="5" t="s">
        <v>2007</v>
      </c>
      <c r="R5">
        <v>73289.37999999999</v>
      </c>
    </row>
    <row r="6" spans="2:18" x14ac:dyDescent="0.3">
      <c r="B6" s="5" t="s">
        <v>1389</v>
      </c>
      <c r="C6">
        <v>67290.3</v>
      </c>
      <c r="F6" s="5" t="s">
        <v>1394</v>
      </c>
      <c r="G6">
        <v>2864.2499999999995</v>
      </c>
      <c r="K6" s="5" t="s">
        <v>1374</v>
      </c>
      <c r="L6">
        <v>5352.15</v>
      </c>
      <c r="M6">
        <v>105949.99000000003</v>
      </c>
      <c r="Q6" s="5" t="s">
        <v>2008</v>
      </c>
      <c r="R6">
        <v>69622.610000000015</v>
      </c>
    </row>
    <row r="7" spans="2:18" x14ac:dyDescent="0.3">
      <c r="B7" s="5" t="s">
        <v>1390</v>
      </c>
      <c r="C7">
        <v>93252.520000000019</v>
      </c>
      <c r="F7" s="5" t="s">
        <v>2003</v>
      </c>
      <c r="G7">
        <v>13718.039999999997</v>
      </c>
      <c r="K7" s="5" t="s">
        <v>2003</v>
      </c>
      <c r="L7">
        <v>13718.039999999997</v>
      </c>
      <c r="M7">
        <v>316137.0400000001</v>
      </c>
      <c r="Q7" s="5" t="s">
        <v>2009</v>
      </c>
      <c r="R7">
        <v>50793.940000000017</v>
      </c>
    </row>
    <row r="8" spans="2:18" x14ac:dyDescent="0.3">
      <c r="B8" s="5" t="s">
        <v>2003</v>
      </c>
      <c r="C8">
        <v>316137.0400000001</v>
      </c>
      <c r="Q8" s="5" t="s">
        <v>2010</v>
      </c>
      <c r="R8">
        <v>47154.700000000019</v>
      </c>
    </row>
    <row r="9" spans="2:18" x14ac:dyDescent="0.3">
      <c r="Q9" s="5" t="s">
        <v>2003</v>
      </c>
      <c r="R9">
        <v>316137.0400000001</v>
      </c>
    </row>
    <row r="28" spans="4:5" x14ac:dyDescent="0.3">
      <c r="D28" s="4" t="s">
        <v>2002</v>
      </c>
      <c r="E28" t="s">
        <v>2004</v>
      </c>
    </row>
    <row r="29" spans="4:5" x14ac:dyDescent="0.3">
      <c r="D29" s="5" t="s">
        <v>1410</v>
      </c>
      <c r="E29">
        <v>3160.17</v>
      </c>
    </row>
    <row r="30" spans="4:5" x14ac:dyDescent="0.3">
      <c r="D30" s="5" t="s">
        <v>1429</v>
      </c>
      <c r="E30">
        <v>2839.47</v>
      </c>
    </row>
    <row r="31" spans="4:5" x14ac:dyDescent="0.3">
      <c r="D31" s="5" t="s">
        <v>1566</v>
      </c>
      <c r="E31">
        <v>2882.7400000000002</v>
      </c>
    </row>
    <row r="32" spans="4:5" x14ac:dyDescent="0.3">
      <c r="D32" s="5" t="s">
        <v>1408</v>
      </c>
      <c r="E32">
        <v>2632.17</v>
      </c>
    </row>
    <row r="33" spans="4:5" x14ac:dyDescent="0.3">
      <c r="D33" s="5" t="s">
        <v>1432</v>
      </c>
      <c r="E33">
        <v>3960.54</v>
      </c>
    </row>
    <row r="34" spans="4:5" x14ac:dyDescent="0.3">
      <c r="D34" s="5" t="s">
        <v>1540</v>
      </c>
      <c r="E34">
        <v>3000.6000000000004</v>
      </c>
    </row>
    <row r="35" spans="4:5" x14ac:dyDescent="0.3">
      <c r="D35" s="5" t="s">
        <v>1454</v>
      </c>
      <c r="E35">
        <v>3353.59</v>
      </c>
    </row>
    <row r="36" spans="4:5" x14ac:dyDescent="0.3">
      <c r="D36" s="5" t="s">
        <v>1521</v>
      </c>
      <c r="E36">
        <v>3000.37</v>
      </c>
    </row>
    <row r="37" spans="4:5" x14ac:dyDescent="0.3">
      <c r="D37" s="5" t="s">
        <v>1488</v>
      </c>
      <c r="E37">
        <v>3495.3999999999996</v>
      </c>
    </row>
    <row r="38" spans="4:5" x14ac:dyDescent="0.3">
      <c r="D38" s="5" t="s">
        <v>1504</v>
      </c>
      <c r="E38">
        <v>4171.46</v>
      </c>
    </row>
    <row r="39" spans="4:5" x14ac:dyDescent="0.3">
      <c r="D39" s="5" t="s">
        <v>2003</v>
      </c>
      <c r="E39">
        <v>32496.510000000002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E27B-C9C2-4786-8E4C-C0ED4BA4EAAA}">
  <dimension ref="A1:R501"/>
  <sheetViews>
    <sheetView tabSelected="1" workbookViewId="0">
      <selection activeCell="C59" sqref="C59"/>
    </sheetView>
  </sheetViews>
  <sheetFormatPr defaultRowHeight="14.4" x14ac:dyDescent="0.3"/>
  <cols>
    <col min="1" max="1" width="10.21875" bestFit="1" customWidth="1"/>
    <col min="2" max="2" width="12" bestFit="1" customWidth="1"/>
    <col min="3" max="3" width="11.21875" bestFit="1" customWidth="1"/>
    <col min="4" max="4" width="16.88671875" bestFit="1" customWidth="1"/>
    <col min="5" max="5" width="11.33203125" bestFit="1" customWidth="1"/>
    <col min="6" max="6" width="12.33203125" bestFit="1" customWidth="1"/>
    <col min="7" max="7" width="10.44140625" bestFit="1" customWidth="1"/>
    <col min="8" max="8" width="9" bestFit="1" customWidth="1"/>
    <col min="9" max="9" width="13.109375" bestFit="1" customWidth="1"/>
    <col min="10" max="10" width="14.6640625" bestFit="1" customWidth="1"/>
    <col min="11" max="11" width="18.77734375" bestFit="1" customWidth="1"/>
    <col min="12" max="12" width="8" bestFit="1" customWidth="1"/>
    <col min="13" max="14" width="10.5546875" bestFit="1" customWidth="1"/>
    <col min="15" max="15" width="7.88671875" bestFit="1" customWidth="1"/>
    <col min="16" max="16" width="18.21875" bestFit="1" customWidth="1"/>
    <col min="18" max="18" width="14.21875" style="3" bestFit="1" customWidth="1"/>
  </cols>
  <sheetData>
    <row r="1" spans="1:18" x14ac:dyDescent="0.3">
      <c r="A1" t="s">
        <v>0</v>
      </c>
      <c r="B1" t="s">
        <v>1999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1998</v>
      </c>
      <c r="Q1" t="s">
        <v>1997</v>
      </c>
      <c r="R1" s="3" t="s">
        <v>2001</v>
      </c>
    </row>
    <row r="2" spans="1:18" hidden="1" x14ac:dyDescent="0.3">
      <c r="A2" t="s">
        <v>15</v>
      </c>
      <c r="B2" s="2"/>
      <c r="C2" s="2">
        <v>45218</v>
      </c>
      <c r="D2" t="s">
        <v>1359</v>
      </c>
      <c r="E2" t="s">
        <v>1374</v>
      </c>
      <c r="F2" t="s">
        <v>1704</v>
      </c>
      <c r="G2" t="s">
        <v>1381</v>
      </c>
      <c r="H2" t="s">
        <v>1388</v>
      </c>
      <c r="I2" t="s">
        <v>1392</v>
      </c>
      <c r="J2" t="s">
        <v>1395</v>
      </c>
      <c r="K2" t="s">
        <v>1404</v>
      </c>
      <c r="L2">
        <v>344.53</v>
      </c>
      <c r="M2">
        <v>4</v>
      </c>
      <c r="N2">
        <v>0.1</v>
      </c>
      <c r="O2">
        <v>57.96</v>
      </c>
      <c r="P2">
        <v>86.132499999999993</v>
      </c>
      <c r="Q2">
        <f>Table1_2[[#This Row],[Ship Date]]-Table1_2[[#This Row],[order date]]</f>
        <v>45218</v>
      </c>
      <c r="R2">
        <f>Table1_2[[#This Row],[Profit]]/Table1_2[[#This Row],[Sales]]</f>
        <v>0.16822918178387949</v>
      </c>
    </row>
    <row r="3" spans="1:18" x14ac:dyDescent="0.3">
      <c r="A3" t="s">
        <v>16</v>
      </c>
      <c r="B3" s="2">
        <v>44785</v>
      </c>
      <c r="C3" s="2">
        <v>44789</v>
      </c>
      <c r="D3" t="s">
        <v>1360</v>
      </c>
      <c r="E3" t="s">
        <v>1375</v>
      </c>
      <c r="F3" t="s">
        <v>1704</v>
      </c>
      <c r="G3" t="s">
        <v>1382</v>
      </c>
      <c r="H3" t="s">
        <v>1389</v>
      </c>
      <c r="I3" t="s">
        <v>1393</v>
      </c>
      <c r="J3" t="s">
        <v>1396</v>
      </c>
      <c r="K3" t="s">
        <v>1405</v>
      </c>
      <c r="L3">
        <v>51.31</v>
      </c>
      <c r="M3">
        <v>4</v>
      </c>
      <c r="N3">
        <v>0</v>
      </c>
      <c r="O3">
        <v>0.5</v>
      </c>
      <c r="P3">
        <v>12.827500000000001</v>
      </c>
      <c r="Q3">
        <f>Table1_2[[#This Row],[Ship Date]]-Table1_2[[#This Row],[order date]]</f>
        <v>4</v>
      </c>
      <c r="R3" s="3">
        <f>Table1_2[[#This Row],[Profit]]/Table1_2[[#This Row],[Sales]]</f>
        <v>9.7446891444162922E-3</v>
      </c>
    </row>
    <row r="4" spans="1:18" x14ac:dyDescent="0.3">
      <c r="A4" t="s">
        <v>17</v>
      </c>
      <c r="B4" s="2">
        <v>44846</v>
      </c>
      <c r="C4" s="2">
        <v>44849</v>
      </c>
      <c r="D4" t="s">
        <v>1360</v>
      </c>
      <c r="E4" t="s">
        <v>1375</v>
      </c>
      <c r="F4" t="s">
        <v>1704</v>
      </c>
      <c r="G4" t="s">
        <v>1383</v>
      </c>
      <c r="H4" t="s">
        <v>1388</v>
      </c>
      <c r="I4" t="s">
        <v>1392</v>
      </c>
      <c r="J4" t="s">
        <v>1397</v>
      </c>
      <c r="K4" t="s">
        <v>1406</v>
      </c>
      <c r="L4">
        <v>140.61000000000001</v>
      </c>
      <c r="M4">
        <v>7</v>
      </c>
      <c r="N4">
        <v>0</v>
      </c>
      <c r="O4">
        <v>-2.88</v>
      </c>
      <c r="P4">
        <v>20.0871</v>
      </c>
      <c r="Q4">
        <f>Table1_2[[#This Row],[Ship Date]]-Table1_2[[#This Row],[order date]]</f>
        <v>3</v>
      </c>
      <c r="R4" s="3">
        <f>Table1_2[[#This Row],[Profit]]/Table1_2[[#This Row],[Sales]]</f>
        <v>-2.0482184766375078E-2</v>
      </c>
    </row>
    <row r="5" spans="1:18" x14ac:dyDescent="0.3">
      <c r="A5" t="s">
        <v>18</v>
      </c>
      <c r="B5" s="2">
        <v>44642</v>
      </c>
      <c r="C5" s="2">
        <v>44651</v>
      </c>
      <c r="D5" t="s">
        <v>1361</v>
      </c>
      <c r="E5" t="s">
        <v>1375</v>
      </c>
      <c r="F5" t="s">
        <v>1379</v>
      </c>
      <c r="G5" t="s">
        <v>1381</v>
      </c>
      <c r="H5" t="s">
        <v>1390</v>
      </c>
      <c r="I5" t="s">
        <v>1394</v>
      </c>
      <c r="J5" t="s">
        <v>1398</v>
      </c>
      <c r="K5" t="s">
        <v>1407</v>
      </c>
      <c r="L5">
        <v>749.85</v>
      </c>
      <c r="M5">
        <v>6</v>
      </c>
      <c r="N5">
        <v>0</v>
      </c>
      <c r="O5">
        <v>-77.88</v>
      </c>
      <c r="P5">
        <v>124.97499999999999</v>
      </c>
      <c r="Q5">
        <f>Table1_2[[#This Row],[Ship Date]]-Table1_2[[#This Row],[order date]]</f>
        <v>9</v>
      </c>
      <c r="R5" s="3">
        <f>Table1_2[[#This Row],[Profit]]/Table1_2[[#This Row],[Sales]]</f>
        <v>-0.10386077215443087</v>
      </c>
    </row>
    <row r="6" spans="1:18" hidden="1" x14ac:dyDescent="0.3">
      <c r="A6" t="s">
        <v>19</v>
      </c>
      <c r="B6" s="2"/>
      <c r="C6" s="2">
        <v>44956</v>
      </c>
      <c r="D6" t="s">
        <v>1362</v>
      </c>
      <c r="E6" t="s">
        <v>1374</v>
      </c>
      <c r="F6" t="s">
        <v>1379</v>
      </c>
      <c r="G6" t="s">
        <v>1383</v>
      </c>
      <c r="H6" t="s">
        <v>1390</v>
      </c>
      <c r="I6" t="s">
        <v>1394</v>
      </c>
      <c r="J6" t="s">
        <v>1398</v>
      </c>
      <c r="K6" t="s">
        <v>1408</v>
      </c>
      <c r="L6">
        <v>1004.25</v>
      </c>
      <c r="M6">
        <v>3</v>
      </c>
      <c r="N6">
        <v>0.15</v>
      </c>
      <c r="O6">
        <v>-22.46</v>
      </c>
      <c r="P6">
        <v>334.75</v>
      </c>
      <c r="Q6">
        <f>Table1_2[[#This Row],[Ship Date]]-Table1_2[[#This Row],[order date]]</f>
        <v>44956</v>
      </c>
      <c r="R6">
        <f>Table1_2[[#This Row],[Profit]]/Table1_2[[#This Row],[Sales]]</f>
        <v>-2.2364948966890716E-2</v>
      </c>
    </row>
    <row r="7" spans="1:18" x14ac:dyDescent="0.3">
      <c r="A7" t="s">
        <v>20</v>
      </c>
      <c r="B7" s="2">
        <v>45308</v>
      </c>
      <c r="C7" s="2">
        <v>45312</v>
      </c>
      <c r="D7" t="s">
        <v>1363</v>
      </c>
      <c r="E7" t="s">
        <v>1376</v>
      </c>
      <c r="F7" t="s">
        <v>1704</v>
      </c>
      <c r="G7" t="s">
        <v>1384</v>
      </c>
      <c r="H7" t="s">
        <v>1388</v>
      </c>
      <c r="I7" t="s">
        <v>1392</v>
      </c>
      <c r="J7" t="s">
        <v>1397</v>
      </c>
      <c r="K7" t="s">
        <v>1409</v>
      </c>
      <c r="L7">
        <v>467.76</v>
      </c>
      <c r="M7">
        <v>9</v>
      </c>
      <c r="N7">
        <v>0.1</v>
      </c>
      <c r="O7">
        <v>66.569999999999993</v>
      </c>
      <c r="P7">
        <v>51.973300000000002</v>
      </c>
      <c r="Q7">
        <f>Table1_2[[#This Row],[Ship Date]]-Table1_2[[#This Row],[order date]]</f>
        <v>4</v>
      </c>
      <c r="R7" s="3">
        <f>Table1_2[[#This Row],[Profit]]/Table1_2[[#This Row],[Sales]]</f>
        <v>0.14231657260133401</v>
      </c>
    </row>
    <row r="8" spans="1:18" x14ac:dyDescent="0.3">
      <c r="A8" t="s">
        <v>21</v>
      </c>
      <c r="B8" s="2">
        <v>45142</v>
      </c>
      <c r="C8" s="2">
        <v>45148</v>
      </c>
      <c r="D8" t="s">
        <v>1364</v>
      </c>
      <c r="E8" t="s">
        <v>1376</v>
      </c>
      <c r="F8" t="s">
        <v>1704</v>
      </c>
      <c r="G8" t="s">
        <v>1383</v>
      </c>
      <c r="H8" t="s">
        <v>1389</v>
      </c>
      <c r="I8" t="s">
        <v>1392</v>
      </c>
      <c r="J8" t="s">
        <v>1395</v>
      </c>
      <c r="K8" t="s">
        <v>1410</v>
      </c>
      <c r="L8">
        <v>609.09</v>
      </c>
      <c r="M8">
        <v>8</v>
      </c>
      <c r="N8">
        <v>0.1</v>
      </c>
      <c r="O8">
        <v>-41.15</v>
      </c>
      <c r="P8">
        <v>76.136300000000006</v>
      </c>
      <c r="Q8">
        <f>Table1_2[[#This Row],[Ship Date]]-Table1_2[[#This Row],[order date]]</f>
        <v>6</v>
      </c>
      <c r="R8" s="3">
        <f>Table1_2[[#This Row],[Profit]]/Table1_2[[#This Row],[Sales]]</f>
        <v>-6.7559802328063176E-2</v>
      </c>
    </row>
    <row r="9" spans="1:18" x14ac:dyDescent="0.3">
      <c r="A9" t="s">
        <v>22</v>
      </c>
      <c r="B9" s="2">
        <v>44786</v>
      </c>
      <c r="C9" s="2">
        <v>44789</v>
      </c>
      <c r="D9" t="s">
        <v>1365</v>
      </c>
      <c r="E9" t="s">
        <v>1375</v>
      </c>
      <c r="F9" t="s">
        <v>1704</v>
      </c>
      <c r="G9" t="s">
        <v>1385</v>
      </c>
      <c r="H9" t="s">
        <v>1389</v>
      </c>
      <c r="I9" t="s">
        <v>1393</v>
      </c>
      <c r="J9" t="s">
        <v>1399</v>
      </c>
      <c r="K9" t="s">
        <v>1411</v>
      </c>
      <c r="L9">
        <v>127.27</v>
      </c>
      <c r="M9">
        <v>1</v>
      </c>
      <c r="N9">
        <v>0</v>
      </c>
      <c r="O9">
        <v>-15.73</v>
      </c>
      <c r="P9">
        <v>127.27</v>
      </c>
      <c r="Q9">
        <f>Table1_2[[#This Row],[Ship Date]]-Table1_2[[#This Row],[order date]]</f>
        <v>3</v>
      </c>
      <c r="R9" s="3">
        <f>Table1_2[[#This Row],[Profit]]/Table1_2[[#This Row],[Sales]]</f>
        <v>-0.12359550561797754</v>
      </c>
    </row>
    <row r="10" spans="1:18" x14ac:dyDescent="0.3">
      <c r="A10" t="s">
        <v>23</v>
      </c>
      <c r="B10" s="2">
        <v>44819</v>
      </c>
      <c r="C10" s="2">
        <v>44828</v>
      </c>
      <c r="D10" t="s">
        <v>1366</v>
      </c>
      <c r="E10" t="s">
        <v>1376</v>
      </c>
      <c r="F10" t="s">
        <v>1704</v>
      </c>
      <c r="G10" t="s">
        <v>1385</v>
      </c>
      <c r="H10" t="s">
        <v>1388</v>
      </c>
      <c r="I10" t="s">
        <v>1392</v>
      </c>
      <c r="J10" t="s">
        <v>1395</v>
      </c>
      <c r="K10" t="s">
        <v>1412</v>
      </c>
      <c r="L10">
        <v>870.45</v>
      </c>
      <c r="M10">
        <v>9</v>
      </c>
      <c r="N10">
        <v>0.15</v>
      </c>
      <c r="O10">
        <v>160.41999999999999</v>
      </c>
      <c r="P10">
        <v>96.716700000000003</v>
      </c>
      <c r="Q10">
        <f>Table1_2[[#This Row],[Ship Date]]-Table1_2[[#This Row],[order date]]</f>
        <v>9</v>
      </c>
      <c r="R10" s="3">
        <f>Table1_2[[#This Row],[Profit]]/Table1_2[[#This Row],[Sales]]</f>
        <v>0.18429547934976159</v>
      </c>
    </row>
    <row r="11" spans="1:18" hidden="1" x14ac:dyDescent="0.3">
      <c r="A11" t="s">
        <v>24</v>
      </c>
      <c r="B11" s="2"/>
      <c r="C11" s="2">
        <v>45463</v>
      </c>
      <c r="D11" t="s">
        <v>1359</v>
      </c>
      <c r="E11" t="s">
        <v>1375</v>
      </c>
      <c r="F11" t="s">
        <v>1379</v>
      </c>
      <c r="G11" t="s">
        <v>1386</v>
      </c>
      <c r="H11" t="s">
        <v>1390</v>
      </c>
      <c r="I11" t="s">
        <v>1393</v>
      </c>
      <c r="J11" t="s">
        <v>1400</v>
      </c>
      <c r="K11" t="s">
        <v>1413</v>
      </c>
      <c r="L11">
        <v>619.05999999999995</v>
      </c>
      <c r="M11">
        <v>2</v>
      </c>
      <c r="N11">
        <v>0.15</v>
      </c>
      <c r="O11">
        <v>136.71</v>
      </c>
      <c r="P11">
        <v>309.52999999999997</v>
      </c>
      <c r="Q11">
        <f>Table1_2[[#This Row],[Ship Date]]-Table1_2[[#This Row],[order date]]</f>
        <v>45463</v>
      </c>
      <c r="R11">
        <f>Table1_2[[#This Row],[Profit]]/Table1_2[[#This Row],[Sales]]</f>
        <v>0.22083481407294933</v>
      </c>
    </row>
    <row r="12" spans="1:18" x14ac:dyDescent="0.3">
      <c r="A12" t="s">
        <v>25</v>
      </c>
      <c r="B12" s="2">
        <v>45359</v>
      </c>
      <c r="C12" s="2">
        <v>45368</v>
      </c>
      <c r="D12" t="s">
        <v>1363</v>
      </c>
      <c r="E12" t="s">
        <v>1375</v>
      </c>
      <c r="F12" t="s">
        <v>1379</v>
      </c>
      <c r="G12" t="s">
        <v>1381</v>
      </c>
      <c r="H12" t="s">
        <v>1389</v>
      </c>
      <c r="I12" t="s">
        <v>1392</v>
      </c>
      <c r="J12" t="s">
        <v>1395</v>
      </c>
      <c r="K12" t="s">
        <v>1414</v>
      </c>
      <c r="L12">
        <v>402.5</v>
      </c>
      <c r="M12">
        <v>1</v>
      </c>
      <c r="N12">
        <v>0</v>
      </c>
      <c r="O12">
        <v>106.48</v>
      </c>
      <c r="P12">
        <v>402.5</v>
      </c>
      <c r="Q12">
        <f>Table1_2[[#This Row],[Ship Date]]-Table1_2[[#This Row],[order date]]</f>
        <v>9</v>
      </c>
      <c r="R12" s="3">
        <f>Table1_2[[#This Row],[Profit]]/Table1_2[[#This Row],[Sales]]</f>
        <v>0.26454658385093166</v>
      </c>
    </row>
    <row r="13" spans="1:18" hidden="1" x14ac:dyDescent="0.3">
      <c r="A13" t="s">
        <v>26</v>
      </c>
      <c r="B13" s="2"/>
      <c r="C13" s="2">
        <v>45349</v>
      </c>
      <c r="D13" t="s">
        <v>1367</v>
      </c>
      <c r="E13" t="s">
        <v>1374</v>
      </c>
      <c r="F13" t="s">
        <v>1704</v>
      </c>
      <c r="G13" t="s">
        <v>1382</v>
      </c>
      <c r="H13" t="s">
        <v>1391</v>
      </c>
      <c r="I13" t="s">
        <v>1392</v>
      </c>
      <c r="J13" t="s">
        <v>1401</v>
      </c>
      <c r="K13" t="s">
        <v>1415</v>
      </c>
      <c r="L13">
        <v>798.51</v>
      </c>
      <c r="M13">
        <v>9</v>
      </c>
      <c r="N13">
        <v>0.1</v>
      </c>
      <c r="O13">
        <v>-53.88</v>
      </c>
      <c r="P13">
        <v>88.723299999999995</v>
      </c>
      <c r="Q13">
        <f>Table1_2[[#This Row],[Ship Date]]-Table1_2[[#This Row],[order date]]</f>
        <v>45349</v>
      </c>
      <c r="R13">
        <f>Table1_2[[#This Row],[Profit]]/Table1_2[[#This Row],[Sales]]</f>
        <v>-6.747567344178533E-2</v>
      </c>
    </row>
    <row r="14" spans="1:18" x14ac:dyDescent="0.3">
      <c r="A14" t="s">
        <v>27</v>
      </c>
      <c r="B14" s="2">
        <v>45249</v>
      </c>
      <c r="C14" s="2">
        <v>45255</v>
      </c>
      <c r="D14" t="s">
        <v>1364</v>
      </c>
      <c r="E14" t="s">
        <v>1375</v>
      </c>
      <c r="F14" t="s">
        <v>1704</v>
      </c>
      <c r="G14" t="s">
        <v>1381</v>
      </c>
      <c r="H14" t="s">
        <v>1388</v>
      </c>
      <c r="I14" t="s">
        <v>1394</v>
      </c>
      <c r="J14" t="s">
        <v>1398</v>
      </c>
      <c r="K14" t="s">
        <v>1416</v>
      </c>
      <c r="L14">
        <v>552.75</v>
      </c>
      <c r="M14">
        <v>4</v>
      </c>
      <c r="N14">
        <v>0.1</v>
      </c>
      <c r="O14">
        <v>-92.85</v>
      </c>
      <c r="P14">
        <v>138.1875</v>
      </c>
      <c r="Q14">
        <f>Table1_2[[#This Row],[Ship Date]]-Table1_2[[#This Row],[order date]]</f>
        <v>6</v>
      </c>
      <c r="R14" s="3">
        <f>Table1_2[[#This Row],[Profit]]/Table1_2[[#This Row],[Sales]]</f>
        <v>-0.16797829036635006</v>
      </c>
    </row>
    <row r="15" spans="1:18" x14ac:dyDescent="0.3">
      <c r="A15" t="s">
        <v>28</v>
      </c>
      <c r="B15" s="2">
        <v>45208</v>
      </c>
      <c r="C15" s="2">
        <v>45209</v>
      </c>
      <c r="D15" t="s">
        <v>1367</v>
      </c>
      <c r="E15" t="s">
        <v>1374</v>
      </c>
      <c r="F15" t="s">
        <v>1704</v>
      </c>
      <c r="G15" t="s">
        <v>1382</v>
      </c>
      <c r="H15" t="s">
        <v>1389</v>
      </c>
      <c r="I15" t="s">
        <v>1392</v>
      </c>
      <c r="J15" t="s">
        <v>1401</v>
      </c>
      <c r="K15" t="s">
        <v>1417</v>
      </c>
      <c r="L15">
        <v>1088.4000000000001</v>
      </c>
      <c r="M15">
        <v>6</v>
      </c>
      <c r="N15">
        <v>0</v>
      </c>
      <c r="O15">
        <v>62.12</v>
      </c>
      <c r="P15">
        <v>181.4</v>
      </c>
      <c r="Q15">
        <f>Table1_2[[#This Row],[Ship Date]]-Table1_2[[#This Row],[order date]]</f>
        <v>1</v>
      </c>
      <c r="R15" s="3">
        <f>Table1_2[[#This Row],[Profit]]/Table1_2[[#This Row],[Sales]]</f>
        <v>5.7074604924660044E-2</v>
      </c>
    </row>
    <row r="16" spans="1:18" x14ac:dyDescent="0.3">
      <c r="A16" t="s">
        <v>29</v>
      </c>
      <c r="B16" s="2">
        <v>45365</v>
      </c>
      <c r="C16" s="2">
        <v>45373</v>
      </c>
      <c r="D16" t="s">
        <v>1361</v>
      </c>
      <c r="E16" t="s">
        <v>1374</v>
      </c>
      <c r="F16" t="s">
        <v>1379</v>
      </c>
      <c r="G16" t="s">
        <v>1381</v>
      </c>
      <c r="H16" t="s">
        <v>1389</v>
      </c>
      <c r="I16" t="s">
        <v>1394</v>
      </c>
      <c r="J16" t="s">
        <v>1402</v>
      </c>
      <c r="K16" t="s">
        <v>1418</v>
      </c>
      <c r="L16">
        <v>131.30000000000001</v>
      </c>
      <c r="M16">
        <v>7</v>
      </c>
      <c r="N16">
        <v>0.15</v>
      </c>
      <c r="O16">
        <v>1.55</v>
      </c>
      <c r="P16">
        <v>18.757100000000001</v>
      </c>
      <c r="Q16">
        <f>Table1_2[[#This Row],[Ship Date]]-Table1_2[[#This Row],[order date]]</f>
        <v>8</v>
      </c>
      <c r="R16" s="3">
        <f>Table1_2[[#This Row],[Profit]]/Table1_2[[#This Row],[Sales]]</f>
        <v>1.1805026656511805E-2</v>
      </c>
    </row>
    <row r="17" spans="1:18" x14ac:dyDescent="0.3">
      <c r="A17" t="s">
        <v>30</v>
      </c>
      <c r="B17" s="2">
        <v>44909</v>
      </c>
      <c r="C17" s="2">
        <v>44911</v>
      </c>
      <c r="D17" t="s">
        <v>1367</v>
      </c>
      <c r="E17" t="s">
        <v>1375</v>
      </c>
      <c r="F17" t="s">
        <v>1704</v>
      </c>
      <c r="G17" t="s">
        <v>1386</v>
      </c>
      <c r="H17" t="s">
        <v>1388</v>
      </c>
      <c r="I17" t="s">
        <v>1392</v>
      </c>
      <c r="J17" t="s">
        <v>1401</v>
      </c>
      <c r="K17" t="s">
        <v>1419</v>
      </c>
      <c r="L17">
        <v>244.45</v>
      </c>
      <c r="M17">
        <v>8</v>
      </c>
      <c r="N17">
        <v>0.1</v>
      </c>
      <c r="O17">
        <v>2.67</v>
      </c>
      <c r="P17">
        <v>30.5562</v>
      </c>
      <c r="Q17">
        <f>Table1_2[[#This Row],[Ship Date]]-Table1_2[[#This Row],[order date]]</f>
        <v>2</v>
      </c>
      <c r="R17" s="3">
        <f>Table1_2[[#This Row],[Profit]]/Table1_2[[#This Row],[Sales]]</f>
        <v>1.0922479034567396E-2</v>
      </c>
    </row>
    <row r="18" spans="1:18" x14ac:dyDescent="0.3">
      <c r="A18" t="s">
        <v>31</v>
      </c>
      <c r="B18" s="2">
        <v>45229</v>
      </c>
      <c r="C18" s="2">
        <v>45238</v>
      </c>
      <c r="D18" t="s">
        <v>1368</v>
      </c>
      <c r="E18" t="s">
        <v>1375</v>
      </c>
      <c r="F18" t="s">
        <v>1704</v>
      </c>
      <c r="G18" t="s">
        <v>1385</v>
      </c>
      <c r="H18" t="s">
        <v>1388</v>
      </c>
      <c r="I18" t="s">
        <v>1392</v>
      </c>
      <c r="J18" t="s">
        <v>1401</v>
      </c>
      <c r="K18" t="s">
        <v>1420</v>
      </c>
      <c r="L18">
        <v>1113.1099999999999</v>
      </c>
      <c r="M18">
        <v>4</v>
      </c>
      <c r="N18">
        <v>0.1</v>
      </c>
      <c r="O18">
        <v>3.57</v>
      </c>
      <c r="P18">
        <v>278.27749999999997</v>
      </c>
      <c r="Q18">
        <f>Table1_2[[#This Row],[Ship Date]]-Table1_2[[#This Row],[order date]]</f>
        <v>9</v>
      </c>
      <c r="R18" s="3">
        <f>Table1_2[[#This Row],[Profit]]/Table1_2[[#This Row],[Sales]]</f>
        <v>3.2072301928830036E-3</v>
      </c>
    </row>
    <row r="19" spans="1:18" x14ac:dyDescent="0.3">
      <c r="A19" t="s">
        <v>32</v>
      </c>
      <c r="B19" s="2">
        <v>44833</v>
      </c>
      <c r="C19" s="2">
        <v>44841</v>
      </c>
      <c r="D19" t="s">
        <v>1363</v>
      </c>
      <c r="E19" t="s">
        <v>1374</v>
      </c>
      <c r="F19" t="s">
        <v>1379</v>
      </c>
      <c r="G19" t="s">
        <v>1382</v>
      </c>
      <c r="H19" t="s">
        <v>1391</v>
      </c>
      <c r="I19" t="s">
        <v>1394</v>
      </c>
      <c r="J19" t="s">
        <v>1403</v>
      </c>
      <c r="K19" t="s">
        <v>1421</v>
      </c>
      <c r="L19">
        <v>841.98</v>
      </c>
      <c r="M19">
        <v>9</v>
      </c>
      <c r="N19">
        <v>0.2</v>
      </c>
      <c r="O19">
        <v>-103.23</v>
      </c>
      <c r="P19">
        <v>93.553299999999993</v>
      </c>
      <c r="Q19">
        <f>Table1_2[[#This Row],[Ship Date]]-Table1_2[[#This Row],[order date]]</f>
        <v>8</v>
      </c>
      <c r="R19" s="3">
        <f>Table1_2[[#This Row],[Profit]]/Table1_2[[#This Row],[Sales]]</f>
        <v>-0.12260386232452078</v>
      </c>
    </row>
    <row r="20" spans="1:18" hidden="1" x14ac:dyDescent="0.3">
      <c r="A20" t="s">
        <v>33</v>
      </c>
      <c r="B20" s="2"/>
      <c r="C20" s="2">
        <v>44623</v>
      </c>
      <c r="D20" t="s">
        <v>1369</v>
      </c>
      <c r="E20" t="s">
        <v>1375</v>
      </c>
      <c r="F20" t="s">
        <v>1379</v>
      </c>
      <c r="G20" t="s">
        <v>1382</v>
      </c>
      <c r="H20" t="s">
        <v>1390</v>
      </c>
      <c r="I20" t="s">
        <v>1394</v>
      </c>
      <c r="J20" t="s">
        <v>1398</v>
      </c>
      <c r="K20" t="s">
        <v>1422</v>
      </c>
      <c r="L20">
        <v>1104.8800000000001</v>
      </c>
      <c r="M20">
        <v>9</v>
      </c>
      <c r="N20">
        <v>0.1</v>
      </c>
      <c r="O20">
        <v>-189.55</v>
      </c>
      <c r="P20">
        <v>122.76439999999999</v>
      </c>
      <c r="Q20">
        <f>Table1_2[[#This Row],[Ship Date]]-Table1_2[[#This Row],[order date]]</f>
        <v>44623</v>
      </c>
      <c r="R20">
        <f>Table1_2[[#This Row],[Profit]]/Table1_2[[#This Row],[Sales]]</f>
        <v>-0.17155709217290566</v>
      </c>
    </row>
    <row r="21" spans="1:18" x14ac:dyDescent="0.3">
      <c r="A21" t="s">
        <v>34</v>
      </c>
      <c r="B21" s="2">
        <v>44625</v>
      </c>
      <c r="C21" s="2">
        <v>44694</v>
      </c>
      <c r="D21" t="s">
        <v>1364</v>
      </c>
      <c r="E21" t="s">
        <v>1376</v>
      </c>
      <c r="F21" t="s">
        <v>1379</v>
      </c>
      <c r="G21" t="s">
        <v>1387</v>
      </c>
      <c r="H21" t="s">
        <v>1391</v>
      </c>
      <c r="I21" t="s">
        <v>1392</v>
      </c>
      <c r="J21" t="s">
        <v>1395</v>
      </c>
      <c r="K21" t="s">
        <v>1423</v>
      </c>
      <c r="L21">
        <v>721.53</v>
      </c>
      <c r="M21">
        <v>10</v>
      </c>
      <c r="N21">
        <v>0</v>
      </c>
      <c r="O21">
        <v>6.94</v>
      </c>
      <c r="P21">
        <v>72.153000000000006</v>
      </c>
      <c r="Q21">
        <f>Table1_2[[#This Row],[Ship Date]]-Table1_2[[#This Row],[order date]]</f>
        <v>69</v>
      </c>
      <c r="R21" s="3">
        <f>Table1_2[[#This Row],[Profit]]/Table1_2[[#This Row],[Sales]]</f>
        <v>9.6184496833118527E-3</v>
      </c>
    </row>
    <row r="22" spans="1:18" x14ac:dyDescent="0.3">
      <c r="A22" t="s">
        <v>35</v>
      </c>
      <c r="B22" s="2">
        <v>44833</v>
      </c>
      <c r="C22" s="2">
        <v>44840</v>
      </c>
      <c r="D22" t="s">
        <v>1366</v>
      </c>
      <c r="E22" t="s">
        <v>1374</v>
      </c>
      <c r="F22" t="s">
        <v>1379</v>
      </c>
      <c r="G22" t="s">
        <v>1381</v>
      </c>
      <c r="H22" t="s">
        <v>1390</v>
      </c>
      <c r="I22" t="s">
        <v>1392</v>
      </c>
      <c r="J22" t="s">
        <v>1395</v>
      </c>
      <c r="K22" t="s">
        <v>1424</v>
      </c>
      <c r="L22">
        <v>781.69</v>
      </c>
      <c r="M22">
        <v>8</v>
      </c>
      <c r="N22">
        <v>0.15</v>
      </c>
      <c r="O22">
        <v>206.76</v>
      </c>
      <c r="P22">
        <v>97.711299999999994</v>
      </c>
      <c r="Q22">
        <f>Table1_2[[#This Row],[Ship Date]]-Table1_2[[#This Row],[order date]]</f>
        <v>7</v>
      </c>
      <c r="R22" s="3">
        <f>Table1_2[[#This Row],[Profit]]/Table1_2[[#This Row],[Sales]]</f>
        <v>0.26450383144213174</v>
      </c>
    </row>
    <row r="23" spans="1:18" hidden="1" x14ac:dyDescent="0.3">
      <c r="A23" t="s">
        <v>36</v>
      </c>
      <c r="B23" s="2"/>
      <c r="C23" s="2">
        <v>44836</v>
      </c>
      <c r="D23" t="s">
        <v>1362</v>
      </c>
      <c r="E23" t="s">
        <v>1374</v>
      </c>
      <c r="F23" t="s">
        <v>1379</v>
      </c>
      <c r="G23" t="s">
        <v>1382</v>
      </c>
      <c r="H23" t="s">
        <v>1391</v>
      </c>
      <c r="I23" t="s">
        <v>1394</v>
      </c>
      <c r="J23" t="s">
        <v>1402</v>
      </c>
      <c r="K23" t="s">
        <v>1425</v>
      </c>
      <c r="L23">
        <v>1057.54</v>
      </c>
      <c r="M23">
        <v>6</v>
      </c>
      <c r="N23">
        <v>0.15</v>
      </c>
      <c r="O23">
        <v>-128.1</v>
      </c>
      <c r="P23">
        <v>176.2567</v>
      </c>
      <c r="Q23">
        <f>Table1_2[[#This Row],[Ship Date]]-Table1_2[[#This Row],[order date]]</f>
        <v>44836</v>
      </c>
      <c r="R23">
        <f>Table1_2[[#This Row],[Profit]]/Table1_2[[#This Row],[Sales]]</f>
        <v>-0.12113017001720974</v>
      </c>
    </row>
    <row r="24" spans="1:18" hidden="1" x14ac:dyDescent="0.3">
      <c r="A24" t="s">
        <v>37</v>
      </c>
      <c r="B24" s="2"/>
      <c r="C24" s="2">
        <v>44671</v>
      </c>
      <c r="D24" t="s">
        <v>1370</v>
      </c>
      <c r="E24" t="s">
        <v>1376</v>
      </c>
      <c r="F24" t="s">
        <v>1704</v>
      </c>
      <c r="G24" t="s">
        <v>1382</v>
      </c>
      <c r="H24" t="s">
        <v>1391</v>
      </c>
      <c r="I24" t="s">
        <v>1394</v>
      </c>
      <c r="J24" t="s">
        <v>1402</v>
      </c>
      <c r="K24" t="s">
        <v>1426</v>
      </c>
      <c r="L24">
        <v>1069.8599999999999</v>
      </c>
      <c r="M24">
        <v>9</v>
      </c>
      <c r="N24">
        <v>0.1</v>
      </c>
      <c r="O24">
        <v>-68.28</v>
      </c>
      <c r="P24">
        <v>118.8733</v>
      </c>
      <c r="Q24">
        <f>Table1_2[[#This Row],[Ship Date]]-Table1_2[[#This Row],[order date]]</f>
        <v>44671</v>
      </c>
      <c r="R24">
        <f>Table1_2[[#This Row],[Profit]]/Table1_2[[#This Row],[Sales]]</f>
        <v>-6.3821434580225461E-2</v>
      </c>
    </row>
    <row r="25" spans="1:18" x14ac:dyDescent="0.3">
      <c r="A25" t="s">
        <v>38</v>
      </c>
      <c r="B25" s="2">
        <v>45062</v>
      </c>
      <c r="C25" s="2">
        <v>45067</v>
      </c>
      <c r="D25" t="s">
        <v>1371</v>
      </c>
      <c r="E25" t="s">
        <v>1374</v>
      </c>
      <c r="F25" t="s">
        <v>1704</v>
      </c>
      <c r="G25" t="s">
        <v>1383</v>
      </c>
      <c r="H25" t="s">
        <v>1389</v>
      </c>
      <c r="I25" t="s">
        <v>1392</v>
      </c>
      <c r="J25" t="s">
        <v>1401</v>
      </c>
      <c r="K25" t="s">
        <v>1427</v>
      </c>
      <c r="L25">
        <v>768.46</v>
      </c>
      <c r="M25">
        <v>5</v>
      </c>
      <c r="N25">
        <v>0</v>
      </c>
      <c r="O25">
        <v>-152.33000000000001</v>
      </c>
      <c r="P25">
        <v>153.69200000000001</v>
      </c>
      <c r="Q25">
        <f>Table1_2[[#This Row],[Ship Date]]-Table1_2[[#This Row],[order date]]</f>
        <v>5</v>
      </c>
      <c r="R25" s="3">
        <f>Table1_2[[#This Row],[Profit]]/Table1_2[[#This Row],[Sales]]</f>
        <v>-0.19822762407932748</v>
      </c>
    </row>
    <row r="26" spans="1:18" hidden="1" x14ac:dyDescent="0.3">
      <c r="A26" t="s">
        <v>39</v>
      </c>
      <c r="B26" s="2">
        <v>44835</v>
      </c>
      <c r="C26" s="2">
        <v>44573</v>
      </c>
      <c r="D26" t="s">
        <v>1359</v>
      </c>
      <c r="E26" t="s">
        <v>1376</v>
      </c>
      <c r="F26" t="s">
        <v>1704</v>
      </c>
      <c r="G26" t="s">
        <v>1381</v>
      </c>
      <c r="H26" t="s">
        <v>1391</v>
      </c>
      <c r="I26" t="s">
        <v>1392</v>
      </c>
      <c r="J26" t="s">
        <v>1395</v>
      </c>
      <c r="K26" t="s">
        <v>1410</v>
      </c>
      <c r="L26">
        <v>1086.6400000000001</v>
      </c>
      <c r="M26">
        <v>9</v>
      </c>
      <c r="N26">
        <v>0</v>
      </c>
      <c r="O26">
        <v>236.12</v>
      </c>
      <c r="P26">
        <v>120.73779999999999</v>
      </c>
      <c r="Q26">
        <f>Table1_2[[#This Row],[Ship Date]]-Table1_2[[#This Row],[order date]]</f>
        <v>-262</v>
      </c>
      <c r="R26">
        <f>Table1_2[[#This Row],[Profit]]/Table1_2[[#This Row],[Sales]]</f>
        <v>0.21729367591842744</v>
      </c>
    </row>
    <row r="27" spans="1:18" x14ac:dyDescent="0.3">
      <c r="A27" t="s">
        <v>40</v>
      </c>
      <c r="B27" s="2">
        <v>45377</v>
      </c>
      <c r="C27" s="2">
        <v>45378</v>
      </c>
      <c r="D27" t="s">
        <v>1364</v>
      </c>
      <c r="E27" t="s">
        <v>1375</v>
      </c>
      <c r="F27" t="s">
        <v>1704</v>
      </c>
      <c r="G27" t="s">
        <v>1386</v>
      </c>
      <c r="H27" t="s">
        <v>1390</v>
      </c>
      <c r="I27" t="s">
        <v>1394</v>
      </c>
      <c r="J27" t="s">
        <v>1402</v>
      </c>
      <c r="K27" t="s">
        <v>1428</v>
      </c>
      <c r="L27">
        <v>824.84</v>
      </c>
      <c r="M27">
        <v>2</v>
      </c>
      <c r="N27">
        <v>0.15</v>
      </c>
      <c r="O27">
        <v>156.77000000000001</v>
      </c>
      <c r="P27">
        <v>412.42</v>
      </c>
      <c r="Q27">
        <f>Table1_2[[#This Row],[Ship Date]]-Table1_2[[#This Row],[order date]]</f>
        <v>1</v>
      </c>
      <c r="R27" s="3">
        <f>Table1_2[[#This Row],[Profit]]/Table1_2[[#This Row],[Sales]]</f>
        <v>0.19006110275932303</v>
      </c>
    </row>
    <row r="28" spans="1:18" hidden="1" x14ac:dyDescent="0.3">
      <c r="A28" t="s">
        <v>41</v>
      </c>
      <c r="B28" s="2"/>
      <c r="C28" s="2">
        <v>44985</v>
      </c>
      <c r="D28" t="s">
        <v>1366</v>
      </c>
      <c r="E28" t="s">
        <v>1375</v>
      </c>
      <c r="F28" t="s">
        <v>1704</v>
      </c>
      <c r="G28" t="s">
        <v>1387</v>
      </c>
      <c r="H28" t="s">
        <v>1390</v>
      </c>
      <c r="I28" t="s">
        <v>1392</v>
      </c>
      <c r="J28" t="s">
        <v>1395</v>
      </c>
      <c r="K28" t="s">
        <v>1429</v>
      </c>
      <c r="L28">
        <v>1110.9000000000001</v>
      </c>
      <c r="M28">
        <v>7</v>
      </c>
      <c r="N28">
        <v>0.1</v>
      </c>
      <c r="O28">
        <v>-73.98</v>
      </c>
      <c r="P28">
        <v>158.69999999999999</v>
      </c>
      <c r="Q28">
        <f>Table1_2[[#This Row],[Ship Date]]-Table1_2[[#This Row],[order date]]</f>
        <v>44985</v>
      </c>
      <c r="R28">
        <f>Table1_2[[#This Row],[Profit]]/Table1_2[[#This Row],[Sales]]</f>
        <v>-6.6594652984066971E-2</v>
      </c>
    </row>
    <row r="29" spans="1:18" x14ac:dyDescent="0.3">
      <c r="A29" t="s">
        <v>42</v>
      </c>
      <c r="B29" s="2">
        <v>44920</v>
      </c>
      <c r="C29" s="2">
        <v>44925</v>
      </c>
      <c r="D29" t="s">
        <v>1372</v>
      </c>
      <c r="E29" t="s">
        <v>1374</v>
      </c>
      <c r="F29" t="s">
        <v>1704</v>
      </c>
      <c r="G29" t="s">
        <v>1382</v>
      </c>
      <c r="H29" t="s">
        <v>1391</v>
      </c>
      <c r="I29" t="s">
        <v>1392</v>
      </c>
      <c r="J29" t="s">
        <v>1401</v>
      </c>
      <c r="K29" t="s">
        <v>1430</v>
      </c>
      <c r="L29">
        <v>47.92</v>
      </c>
      <c r="M29">
        <v>4</v>
      </c>
      <c r="N29">
        <v>0.2</v>
      </c>
      <c r="O29">
        <v>-1.72</v>
      </c>
      <c r="P29">
        <v>11.98</v>
      </c>
      <c r="Q29">
        <f>Table1_2[[#This Row],[Ship Date]]-Table1_2[[#This Row],[order date]]</f>
        <v>5</v>
      </c>
      <c r="R29" s="3">
        <f>Table1_2[[#This Row],[Profit]]/Table1_2[[#This Row],[Sales]]</f>
        <v>-3.5893155258764603E-2</v>
      </c>
    </row>
    <row r="30" spans="1:18" x14ac:dyDescent="0.3">
      <c r="A30" t="s">
        <v>43</v>
      </c>
      <c r="B30" s="2">
        <v>44680</v>
      </c>
      <c r="C30" s="2">
        <v>44685</v>
      </c>
      <c r="D30" t="s">
        <v>1362</v>
      </c>
      <c r="E30" t="s">
        <v>1376</v>
      </c>
      <c r="F30" t="s">
        <v>1704</v>
      </c>
      <c r="G30" t="s">
        <v>1383</v>
      </c>
      <c r="H30" t="s">
        <v>1388</v>
      </c>
      <c r="I30" t="s">
        <v>1392</v>
      </c>
      <c r="J30" t="s">
        <v>1395</v>
      </c>
      <c r="K30" t="s">
        <v>1431</v>
      </c>
      <c r="L30">
        <v>1155.79</v>
      </c>
      <c r="M30">
        <v>5</v>
      </c>
      <c r="N30">
        <v>0</v>
      </c>
      <c r="O30">
        <v>-168.51</v>
      </c>
      <c r="P30">
        <v>231.15799999999999</v>
      </c>
      <c r="Q30">
        <f>Table1_2[[#This Row],[Ship Date]]-Table1_2[[#This Row],[order date]]</f>
        <v>5</v>
      </c>
      <c r="R30" s="3">
        <f>Table1_2[[#This Row],[Profit]]/Table1_2[[#This Row],[Sales]]</f>
        <v>-0.14579638169563675</v>
      </c>
    </row>
    <row r="31" spans="1:18" hidden="1" x14ac:dyDescent="0.3">
      <c r="A31" t="s">
        <v>44</v>
      </c>
      <c r="B31" s="2"/>
      <c r="C31" s="2">
        <v>45156</v>
      </c>
      <c r="D31" t="s">
        <v>1368</v>
      </c>
      <c r="E31" t="s">
        <v>1376</v>
      </c>
      <c r="F31" t="s">
        <v>1379</v>
      </c>
      <c r="G31" t="s">
        <v>1382</v>
      </c>
      <c r="H31" t="s">
        <v>1391</v>
      </c>
      <c r="I31" t="s">
        <v>1394</v>
      </c>
      <c r="J31" t="s">
        <v>1402</v>
      </c>
      <c r="K31" t="s">
        <v>1432</v>
      </c>
      <c r="L31">
        <v>856.37</v>
      </c>
      <c r="M31">
        <v>1</v>
      </c>
      <c r="N31">
        <v>0</v>
      </c>
      <c r="O31">
        <v>225.04</v>
      </c>
      <c r="P31">
        <v>856.37</v>
      </c>
      <c r="Q31">
        <f>Table1_2[[#This Row],[Ship Date]]-Table1_2[[#This Row],[order date]]</f>
        <v>45156</v>
      </c>
      <c r="R31">
        <f>Table1_2[[#This Row],[Profit]]/Table1_2[[#This Row],[Sales]]</f>
        <v>0.26278360988824923</v>
      </c>
    </row>
    <row r="32" spans="1:18" x14ac:dyDescent="0.3">
      <c r="A32" t="s">
        <v>45</v>
      </c>
      <c r="B32" s="2">
        <v>44883</v>
      </c>
      <c r="C32" s="2">
        <v>44885</v>
      </c>
      <c r="D32" t="s">
        <v>1359</v>
      </c>
      <c r="E32" t="s">
        <v>1375</v>
      </c>
      <c r="F32" t="s">
        <v>1704</v>
      </c>
      <c r="G32" t="s">
        <v>1382</v>
      </c>
      <c r="H32" t="s">
        <v>1389</v>
      </c>
      <c r="I32" t="s">
        <v>1393</v>
      </c>
      <c r="J32" t="s">
        <v>1399</v>
      </c>
      <c r="K32" t="s">
        <v>1433</v>
      </c>
      <c r="L32">
        <v>618.4</v>
      </c>
      <c r="M32">
        <v>7</v>
      </c>
      <c r="N32">
        <v>0.15</v>
      </c>
      <c r="O32">
        <v>0.74</v>
      </c>
      <c r="P32">
        <v>88.3429</v>
      </c>
      <c r="Q32">
        <f>Table1_2[[#This Row],[Ship Date]]-Table1_2[[#This Row],[order date]]</f>
        <v>2</v>
      </c>
      <c r="R32" s="3">
        <f>Table1_2[[#This Row],[Profit]]/Table1_2[[#This Row],[Sales]]</f>
        <v>1.1966364812419146E-3</v>
      </c>
    </row>
    <row r="33" spans="1:18" x14ac:dyDescent="0.3">
      <c r="A33" t="s">
        <v>46</v>
      </c>
      <c r="B33" s="2">
        <v>45328</v>
      </c>
      <c r="C33" s="2">
        <v>45331</v>
      </c>
      <c r="D33" t="s">
        <v>1365</v>
      </c>
      <c r="E33" t="s">
        <v>1374</v>
      </c>
      <c r="F33" t="s">
        <v>1379</v>
      </c>
      <c r="G33" t="s">
        <v>1385</v>
      </c>
      <c r="H33" t="s">
        <v>1389</v>
      </c>
      <c r="I33" t="s">
        <v>1393</v>
      </c>
      <c r="J33" t="s">
        <v>1396</v>
      </c>
      <c r="K33" t="s">
        <v>1434</v>
      </c>
      <c r="L33">
        <v>375.12</v>
      </c>
      <c r="M33">
        <v>9</v>
      </c>
      <c r="N33">
        <v>0</v>
      </c>
      <c r="O33">
        <v>-18.03</v>
      </c>
      <c r="P33">
        <v>41.68</v>
      </c>
      <c r="Q33">
        <f>Table1_2[[#This Row],[Ship Date]]-Table1_2[[#This Row],[order date]]</f>
        <v>3</v>
      </c>
      <c r="R33" s="3">
        <f>Table1_2[[#This Row],[Profit]]/Table1_2[[#This Row],[Sales]]</f>
        <v>-4.806461932181702E-2</v>
      </c>
    </row>
    <row r="34" spans="1:18" hidden="1" x14ac:dyDescent="0.3">
      <c r="A34" t="s">
        <v>47</v>
      </c>
      <c r="B34" s="2"/>
      <c r="C34" s="2">
        <v>45257</v>
      </c>
      <c r="D34" t="s">
        <v>1360</v>
      </c>
      <c r="E34" t="s">
        <v>1375</v>
      </c>
      <c r="F34" t="s">
        <v>1704</v>
      </c>
      <c r="G34" t="s">
        <v>1382</v>
      </c>
      <c r="H34" t="s">
        <v>1391</v>
      </c>
      <c r="I34" t="s">
        <v>1393</v>
      </c>
      <c r="J34" t="s">
        <v>1399</v>
      </c>
      <c r="K34" t="s">
        <v>1435</v>
      </c>
      <c r="L34">
        <v>956.61</v>
      </c>
      <c r="M34">
        <v>3</v>
      </c>
      <c r="N34">
        <v>0</v>
      </c>
      <c r="O34">
        <v>-55.59</v>
      </c>
      <c r="P34">
        <v>318.87</v>
      </c>
      <c r="Q34">
        <f>Table1_2[[#This Row],[Ship Date]]-Table1_2[[#This Row],[order date]]</f>
        <v>45257</v>
      </c>
      <c r="R34">
        <f>Table1_2[[#This Row],[Profit]]/Table1_2[[#This Row],[Sales]]</f>
        <v>-5.8111456079279963E-2</v>
      </c>
    </row>
    <row r="35" spans="1:18" x14ac:dyDescent="0.3">
      <c r="A35" t="s">
        <v>48</v>
      </c>
      <c r="B35" s="2">
        <v>45387</v>
      </c>
      <c r="C35" s="2">
        <v>45391</v>
      </c>
      <c r="D35" t="s">
        <v>1373</v>
      </c>
      <c r="E35" t="s">
        <v>1374</v>
      </c>
      <c r="F35" t="s">
        <v>1704</v>
      </c>
      <c r="G35" t="s">
        <v>1382</v>
      </c>
      <c r="H35" t="s">
        <v>1389</v>
      </c>
      <c r="I35" t="s">
        <v>1392</v>
      </c>
      <c r="J35" t="s">
        <v>1401</v>
      </c>
      <c r="K35" t="s">
        <v>1436</v>
      </c>
      <c r="L35">
        <v>74.53</v>
      </c>
      <c r="M35">
        <v>8</v>
      </c>
      <c r="N35">
        <v>0</v>
      </c>
      <c r="O35">
        <v>16.760000000000002</v>
      </c>
      <c r="P35">
        <v>9.3163</v>
      </c>
      <c r="Q35">
        <f>Table1_2[[#This Row],[Ship Date]]-Table1_2[[#This Row],[order date]]</f>
        <v>4</v>
      </c>
      <c r="R35" s="3">
        <f>Table1_2[[#This Row],[Profit]]/Table1_2[[#This Row],[Sales]]</f>
        <v>0.22487588890379714</v>
      </c>
    </row>
    <row r="36" spans="1:18" hidden="1" x14ac:dyDescent="0.3">
      <c r="A36" t="s">
        <v>49</v>
      </c>
      <c r="B36" s="2"/>
      <c r="C36" s="2">
        <v>44975</v>
      </c>
      <c r="D36" t="s">
        <v>1360</v>
      </c>
      <c r="E36" t="s">
        <v>1375</v>
      </c>
      <c r="F36" t="s">
        <v>1704</v>
      </c>
      <c r="G36" t="s">
        <v>1386</v>
      </c>
      <c r="H36" t="s">
        <v>1388</v>
      </c>
      <c r="I36" t="s">
        <v>1392</v>
      </c>
      <c r="J36" t="s">
        <v>1395</v>
      </c>
      <c r="K36" t="s">
        <v>1429</v>
      </c>
      <c r="L36">
        <v>831.39</v>
      </c>
      <c r="M36">
        <v>2</v>
      </c>
      <c r="N36">
        <v>0.2</v>
      </c>
      <c r="O36">
        <v>-75.31</v>
      </c>
      <c r="P36">
        <v>415.69499999999999</v>
      </c>
      <c r="Q36">
        <f>Table1_2[[#This Row],[Ship Date]]-Table1_2[[#This Row],[order date]]</f>
        <v>44975</v>
      </c>
      <c r="R36">
        <f>Table1_2[[#This Row],[Profit]]/Table1_2[[#This Row],[Sales]]</f>
        <v>-9.0583240115950397E-2</v>
      </c>
    </row>
    <row r="37" spans="1:18" x14ac:dyDescent="0.3">
      <c r="A37" t="s">
        <v>50</v>
      </c>
      <c r="B37" s="2">
        <v>44698</v>
      </c>
      <c r="C37" s="2">
        <v>44706</v>
      </c>
      <c r="D37" t="s">
        <v>1364</v>
      </c>
      <c r="E37" t="s">
        <v>1374</v>
      </c>
      <c r="F37" t="s">
        <v>1704</v>
      </c>
      <c r="G37" t="s">
        <v>1386</v>
      </c>
      <c r="H37" t="s">
        <v>1389</v>
      </c>
      <c r="I37" t="s">
        <v>1393</v>
      </c>
      <c r="J37" t="s">
        <v>1396</v>
      </c>
      <c r="K37" t="s">
        <v>1437</v>
      </c>
      <c r="L37">
        <v>1185.71</v>
      </c>
      <c r="M37">
        <v>10</v>
      </c>
      <c r="N37">
        <v>0.15</v>
      </c>
      <c r="O37">
        <v>326.08999999999997</v>
      </c>
      <c r="P37">
        <v>118.571</v>
      </c>
      <c r="Q37">
        <f>Table1_2[[#This Row],[Ship Date]]-Table1_2[[#This Row],[order date]]</f>
        <v>8</v>
      </c>
      <c r="R37" s="3">
        <f>Table1_2[[#This Row],[Profit]]/Table1_2[[#This Row],[Sales]]</f>
        <v>0.27501665668671088</v>
      </c>
    </row>
    <row r="38" spans="1:18" x14ac:dyDescent="0.3">
      <c r="A38" t="s">
        <v>51</v>
      </c>
      <c r="B38" s="2">
        <v>45323</v>
      </c>
      <c r="C38" s="2">
        <v>45331</v>
      </c>
      <c r="D38" t="s">
        <v>1372</v>
      </c>
      <c r="E38" t="s">
        <v>1375</v>
      </c>
      <c r="F38" t="s">
        <v>1379</v>
      </c>
      <c r="G38" t="s">
        <v>1387</v>
      </c>
      <c r="H38" t="s">
        <v>1391</v>
      </c>
      <c r="I38" t="s">
        <v>1394</v>
      </c>
      <c r="J38" t="s">
        <v>1403</v>
      </c>
      <c r="K38" t="s">
        <v>1438</v>
      </c>
      <c r="L38">
        <v>907.1</v>
      </c>
      <c r="M38">
        <v>5</v>
      </c>
      <c r="N38">
        <v>0</v>
      </c>
      <c r="O38">
        <v>38.369999999999997</v>
      </c>
      <c r="P38">
        <v>181.42</v>
      </c>
      <c r="Q38">
        <f>Table1_2[[#This Row],[Ship Date]]-Table1_2[[#This Row],[order date]]</f>
        <v>8</v>
      </c>
      <c r="R38" s="3">
        <f>Table1_2[[#This Row],[Profit]]/Table1_2[[#This Row],[Sales]]</f>
        <v>4.2299636203285189E-2</v>
      </c>
    </row>
    <row r="39" spans="1:18" x14ac:dyDescent="0.3">
      <c r="A39" t="s">
        <v>52</v>
      </c>
      <c r="B39" s="2">
        <v>44889</v>
      </c>
      <c r="C39" s="2">
        <v>44898</v>
      </c>
      <c r="D39" t="s">
        <v>1373</v>
      </c>
      <c r="E39" t="s">
        <v>1376</v>
      </c>
      <c r="F39" t="s">
        <v>1704</v>
      </c>
      <c r="G39" t="s">
        <v>1385</v>
      </c>
      <c r="H39" t="s">
        <v>1388</v>
      </c>
      <c r="I39" t="s">
        <v>1392</v>
      </c>
      <c r="J39" t="s">
        <v>1401</v>
      </c>
      <c r="K39" t="s">
        <v>1439</v>
      </c>
      <c r="L39">
        <v>197.98</v>
      </c>
      <c r="M39">
        <v>7</v>
      </c>
      <c r="N39">
        <v>0.1</v>
      </c>
      <c r="O39">
        <v>30.33</v>
      </c>
      <c r="P39">
        <v>28.282900000000001</v>
      </c>
      <c r="Q39">
        <f>Table1_2[[#This Row],[Ship Date]]-Table1_2[[#This Row],[order date]]</f>
        <v>9</v>
      </c>
      <c r="R39" s="3">
        <f>Table1_2[[#This Row],[Profit]]/Table1_2[[#This Row],[Sales]]</f>
        <v>0.15319729265582382</v>
      </c>
    </row>
    <row r="40" spans="1:18" x14ac:dyDescent="0.3">
      <c r="A40" t="s">
        <v>53</v>
      </c>
      <c r="B40" s="2">
        <v>45414</v>
      </c>
      <c r="C40" s="2">
        <v>45421</v>
      </c>
      <c r="D40" t="s">
        <v>1372</v>
      </c>
      <c r="E40" t="s">
        <v>1376</v>
      </c>
      <c r="F40" t="s">
        <v>1704</v>
      </c>
      <c r="G40" t="s">
        <v>1383</v>
      </c>
      <c r="H40" t="s">
        <v>1390</v>
      </c>
      <c r="I40" t="s">
        <v>1394</v>
      </c>
      <c r="J40" t="s">
        <v>1398</v>
      </c>
      <c r="K40" t="s">
        <v>1440</v>
      </c>
      <c r="L40">
        <v>1136.3499999999999</v>
      </c>
      <c r="M40">
        <v>1</v>
      </c>
      <c r="N40">
        <v>0</v>
      </c>
      <c r="O40">
        <v>-11.15</v>
      </c>
      <c r="P40">
        <v>1136.3499999999999</v>
      </c>
      <c r="Q40">
        <f>Table1_2[[#This Row],[Ship Date]]-Table1_2[[#This Row],[order date]]</f>
        <v>7</v>
      </c>
      <c r="R40" s="3">
        <f>Table1_2[[#This Row],[Profit]]/Table1_2[[#This Row],[Sales]]</f>
        <v>-9.8121177454129453E-3</v>
      </c>
    </row>
    <row r="41" spans="1:18" x14ac:dyDescent="0.3">
      <c r="A41" t="s">
        <v>54</v>
      </c>
      <c r="B41" s="2">
        <v>44786</v>
      </c>
      <c r="C41" s="2">
        <v>44791</v>
      </c>
      <c r="D41" t="s">
        <v>1370</v>
      </c>
      <c r="E41" t="s">
        <v>1374</v>
      </c>
      <c r="F41" t="s">
        <v>1379</v>
      </c>
      <c r="G41" t="s">
        <v>1385</v>
      </c>
      <c r="H41" t="s">
        <v>1388</v>
      </c>
      <c r="I41" t="s">
        <v>1394</v>
      </c>
      <c r="J41" t="s">
        <v>1403</v>
      </c>
      <c r="K41" t="s">
        <v>1441</v>
      </c>
      <c r="L41">
        <v>54.25</v>
      </c>
      <c r="M41">
        <v>6</v>
      </c>
      <c r="N41">
        <v>0.2</v>
      </c>
      <c r="O41">
        <v>8.7899999999999991</v>
      </c>
      <c r="P41">
        <v>9.0417000000000005</v>
      </c>
      <c r="Q41">
        <f>Table1_2[[#This Row],[Ship Date]]-Table1_2[[#This Row],[order date]]</f>
        <v>5</v>
      </c>
      <c r="R41" s="3">
        <f>Table1_2[[#This Row],[Profit]]/Table1_2[[#This Row],[Sales]]</f>
        <v>0.16202764976958522</v>
      </c>
    </row>
    <row r="42" spans="1:18" x14ac:dyDescent="0.3">
      <c r="A42" t="s">
        <v>55</v>
      </c>
      <c r="B42" s="2">
        <v>45220</v>
      </c>
      <c r="C42" s="2">
        <v>45227</v>
      </c>
      <c r="D42" t="s">
        <v>1372</v>
      </c>
      <c r="E42" t="s">
        <v>1376</v>
      </c>
      <c r="F42" t="s">
        <v>1379</v>
      </c>
      <c r="G42" t="s">
        <v>1386</v>
      </c>
      <c r="H42" t="s">
        <v>1389</v>
      </c>
      <c r="I42" t="s">
        <v>1392</v>
      </c>
      <c r="J42" t="s">
        <v>1397</v>
      </c>
      <c r="K42" t="s">
        <v>1442</v>
      </c>
      <c r="L42">
        <v>234.44</v>
      </c>
      <c r="M42">
        <v>5</v>
      </c>
      <c r="N42">
        <v>0.2</v>
      </c>
      <c r="O42">
        <v>-8.52</v>
      </c>
      <c r="P42">
        <v>46.887999999999998</v>
      </c>
      <c r="Q42">
        <f>Table1_2[[#This Row],[Ship Date]]-Table1_2[[#This Row],[order date]]</f>
        <v>7</v>
      </c>
      <c r="R42" s="3">
        <f>Table1_2[[#This Row],[Profit]]/Table1_2[[#This Row],[Sales]]</f>
        <v>-3.6341921173861112E-2</v>
      </c>
    </row>
    <row r="43" spans="1:18" x14ac:dyDescent="0.3">
      <c r="A43" t="s">
        <v>56</v>
      </c>
      <c r="B43" s="2">
        <v>45416</v>
      </c>
      <c r="C43" s="2">
        <v>45418</v>
      </c>
      <c r="D43" t="s">
        <v>1369</v>
      </c>
      <c r="E43" t="s">
        <v>1375</v>
      </c>
      <c r="F43" t="s">
        <v>1704</v>
      </c>
      <c r="G43" t="s">
        <v>1386</v>
      </c>
      <c r="H43" t="s">
        <v>1388</v>
      </c>
      <c r="I43" t="s">
        <v>1394</v>
      </c>
      <c r="J43" t="s">
        <v>1402</v>
      </c>
      <c r="K43" t="s">
        <v>1432</v>
      </c>
      <c r="L43">
        <v>903.85</v>
      </c>
      <c r="M43">
        <v>1</v>
      </c>
      <c r="N43">
        <v>0.15</v>
      </c>
      <c r="O43">
        <v>-79.44</v>
      </c>
      <c r="P43">
        <v>903.85</v>
      </c>
      <c r="Q43">
        <f>Table1_2[[#This Row],[Ship Date]]-Table1_2[[#This Row],[order date]]</f>
        <v>2</v>
      </c>
      <c r="R43" s="3">
        <f>Table1_2[[#This Row],[Profit]]/Table1_2[[#This Row],[Sales]]</f>
        <v>-8.7890689826851789E-2</v>
      </c>
    </row>
    <row r="44" spans="1:18" x14ac:dyDescent="0.3">
      <c r="A44" t="s">
        <v>57</v>
      </c>
      <c r="B44" s="2">
        <v>44718</v>
      </c>
      <c r="C44" s="2">
        <v>44722</v>
      </c>
      <c r="D44" t="s">
        <v>1371</v>
      </c>
      <c r="E44" t="s">
        <v>1374</v>
      </c>
      <c r="F44" t="s">
        <v>1379</v>
      </c>
      <c r="G44" t="s">
        <v>1386</v>
      </c>
      <c r="H44" t="s">
        <v>1390</v>
      </c>
      <c r="I44" t="s">
        <v>1392</v>
      </c>
      <c r="J44" t="s">
        <v>1397</v>
      </c>
      <c r="K44" t="s">
        <v>1443</v>
      </c>
      <c r="L44">
        <v>809.96</v>
      </c>
      <c r="M44">
        <v>10</v>
      </c>
      <c r="N44">
        <v>0.1</v>
      </c>
      <c r="O44">
        <v>26.34</v>
      </c>
      <c r="P44">
        <v>80.995999999999995</v>
      </c>
      <c r="Q44">
        <f>Table1_2[[#This Row],[Ship Date]]-Table1_2[[#This Row],[order date]]</f>
        <v>4</v>
      </c>
      <c r="R44" s="3">
        <f>Table1_2[[#This Row],[Profit]]/Table1_2[[#This Row],[Sales]]</f>
        <v>3.2520124450590153E-2</v>
      </c>
    </row>
    <row r="45" spans="1:18" x14ac:dyDescent="0.3">
      <c r="A45" t="s">
        <v>58</v>
      </c>
      <c r="B45" s="2">
        <v>44672</v>
      </c>
      <c r="C45" s="2">
        <v>44682</v>
      </c>
      <c r="D45" t="s">
        <v>1361</v>
      </c>
      <c r="E45" t="s">
        <v>1374</v>
      </c>
      <c r="F45" t="s">
        <v>1704</v>
      </c>
      <c r="G45" t="s">
        <v>1381</v>
      </c>
      <c r="H45" t="s">
        <v>1391</v>
      </c>
      <c r="I45" t="s">
        <v>1392</v>
      </c>
      <c r="J45" t="s">
        <v>1397</v>
      </c>
      <c r="K45" t="s">
        <v>1444</v>
      </c>
      <c r="L45">
        <v>699.44</v>
      </c>
      <c r="M45">
        <v>7</v>
      </c>
      <c r="N45">
        <v>0.2</v>
      </c>
      <c r="O45">
        <v>189.36</v>
      </c>
      <c r="P45">
        <v>99.92</v>
      </c>
      <c r="Q45">
        <f>Table1_2[[#This Row],[Ship Date]]-Table1_2[[#This Row],[order date]]</f>
        <v>10</v>
      </c>
      <c r="R45" s="3">
        <f>Table1_2[[#This Row],[Profit]]/Table1_2[[#This Row],[Sales]]</f>
        <v>0.27073087041061422</v>
      </c>
    </row>
    <row r="46" spans="1:18" x14ac:dyDescent="0.3">
      <c r="A46" t="s">
        <v>59</v>
      </c>
      <c r="B46" s="2">
        <v>45116</v>
      </c>
      <c r="C46" s="2">
        <v>45178</v>
      </c>
      <c r="D46" t="s">
        <v>1371</v>
      </c>
      <c r="E46" t="s">
        <v>1376</v>
      </c>
      <c r="F46" t="s">
        <v>1704</v>
      </c>
      <c r="G46" t="s">
        <v>1381</v>
      </c>
      <c r="H46" t="s">
        <v>1389</v>
      </c>
      <c r="I46" t="s">
        <v>1393</v>
      </c>
      <c r="J46" t="s">
        <v>1400</v>
      </c>
      <c r="K46" t="s">
        <v>1445</v>
      </c>
      <c r="L46">
        <v>429.7</v>
      </c>
      <c r="M46">
        <v>7</v>
      </c>
      <c r="N46">
        <v>0.15</v>
      </c>
      <c r="O46">
        <v>-71.12</v>
      </c>
      <c r="P46">
        <v>61.3857</v>
      </c>
      <c r="Q46">
        <f>Table1_2[[#This Row],[Ship Date]]-Table1_2[[#This Row],[order date]]</f>
        <v>62</v>
      </c>
      <c r="R46" s="3">
        <f>Table1_2[[#This Row],[Profit]]/Table1_2[[#This Row],[Sales]]</f>
        <v>-0.16551082150337446</v>
      </c>
    </row>
    <row r="47" spans="1:18" hidden="1" x14ac:dyDescent="0.3">
      <c r="A47" t="s">
        <v>60</v>
      </c>
      <c r="B47" s="2"/>
      <c r="C47" s="2">
        <v>45220</v>
      </c>
      <c r="D47" t="s">
        <v>1373</v>
      </c>
      <c r="E47" t="s">
        <v>1376</v>
      </c>
      <c r="F47" t="s">
        <v>1379</v>
      </c>
      <c r="G47" t="s">
        <v>1384</v>
      </c>
      <c r="H47" t="s">
        <v>1390</v>
      </c>
      <c r="I47" t="s">
        <v>1393</v>
      </c>
      <c r="J47" t="s">
        <v>1400</v>
      </c>
      <c r="K47" t="s">
        <v>1446</v>
      </c>
      <c r="L47">
        <v>533.87</v>
      </c>
      <c r="M47">
        <v>9</v>
      </c>
      <c r="N47">
        <v>0.15</v>
      </c>
      <c r="O47">
        <v>57.63</v>
      </c>
      <c r="P47">
        <v>59.318899999999999</v>
      </c>
      <c r="Q47">
        <f>Table1_2[[#This Row],[Ship Date]]-Table1_2[[#This Row],[order date]]</f>
        <v>45220</v>
      </c>
      <c r="R47">
        <f>Table1_2[[#This Row],[Profit]]/Table1_2[[#This Row],[Sales]]</f>
        <v>0.10794762769962725</v>
      </c>
    </row>
    <row r="48" spans="1:18" x14ac:dyDescent="0.3">
      <c r="A48" t="s">
        <v>61</v>
      </c>
      <c r="B48" s="2">
        <v>44847</v>
      </c>
      <c r="C48" s="2">
        <v>44855</v>
      </c>
      <c r="D48" t="s">
        <v>1368</v>
      </c>
      <c r="E48" t="s">
        <v>1375</v>
      </c>
      <c r="F48" t="s">
        <v>1379</v>
      </c>
      <c r="G48" t="s">
        <v>1386</v>
      </c>
      <c r="H48" t="s">
        <v>1391</v>
      </c>
      <c r="I48" t="s">
        <v>1392</v>
      </c>
      <c r="J48" t="s">
        <v>1397</v>
      </c>
      <c r="K48" t="s">
        <v>1447</v>
      </c>
      <c r="L48">
        <v>692.42</v>
      </c>
      <c r="M48">
        <v>7</v>
      </c>
      <c r="N48">
        <v>0.15</v>
      </c>
      <c r="O48">
        <v>-128.55000000000001</v>
      </c>
      <c r="P48">
        <v>98.917100000000005</v>
      </c>
      <c r="Q48">
        <f>Table1_2[[#This Row],[Ship Date]]-Table1_2[[#This Row],[order date]]</f>
        <v>8</v>
      </c>
      <c r="R48" s="3">
        <f>Table1_2[[#This Row],[Profit]]/Table1_2[[#This Row],[Sales]]</f>
        <v>-0.1856532162560296</v>
      </c>
    </row>
    <row r="49" spans="1:18" hidden="1" x14ac:dyDescent="0.3">
      <c r="A49" t="s">
        <v>62</v>
      </c>
      <c r="B49" s="2"/>
      <c r="C49" s="2">
        <v>44858</v>
      </c>
      <c r="D49" t="s">
        <v>1373</v>
      </c>
      <c r="E49" t="s">
        <v>1374</v>
      </c>
      <c r="F49" t="s">
        <v>1704</v>
      </c>
      <c r="G49" t="s">
        <v>1382</v>
      </c>
      <c r="H49" t="s">
        <v>1389</v>
      </c>
      <c r="I49" t="s">
        <v>1393</v>
      </c>
      <c r="J49" t="s">
        <v>1399</v>
      </c>
      <c r="K49" t="s">
        <v>1448</v>
      </c>
      <c r="L49">
        <v>675.83</v>
      </c>
      <c r="M49">
        <v>9</v>
      </c>
      <c r="N49">
        <v>0.1</v>
      </c>
      <c r="O49">
        <v>-106.24</v>
      </c>
      <c r="P49">
        <v>75.092200000000005</v>
      </c>
      <c r="Q49">
        <f>Table1_2[[#This Row],[Ship Date]]-Table1_2[[#This Row],[order date]]</f>
        <v>44858</v>
      </c>
      <c r="R49">
        <f>Table1_2[[#This Row],[Profit]]/Table1_2[[#This Row],[Sales]]</f>
        <v>-0.15719929568086646</v>
      </c>
    </row>
    <row r="50" spans="1:18" x14ac:dyDescent="0.3">
      <c r="A50" t="s">
        <v>63</v>
      </c>
      <c r="B50" s="2">
        <v>45290</v>
      </c>
      <c r="C50" s="2">
        <v>45298</v>
      </c>
      <c r="D50" t="s">
        <v>1360</v>
      </c>
      <c r="E50" t="s">
        <v>1376</v>
      </c>
      <c r="F50" t="s">
        <v>1379</v>
      </c>
      <c r="G50" t="s">
        <v>1385</v>
      </c>
      <c r="H50" t="s">
        <v>1391</v>
      </c>
      <c r="I50" t="s">
        <v>1394</v>
      </c>
      <c r="J50" t="s">
        <v>1402</v>
      </c>
      <c r="K50" t="s">
        <v>1449</v>
      </c>
      <c r="L50">
        <v>129.80000000000001</v>
      </c>
      <c r="M50">
        <v>4</v>
      </c>
      <c r="N50">
        <v>0.2</v>
      </c>
      <c r="O50">
        <v>18.940000000000001</v>
      </c>
      <c r="P50">
        <v>32.450000000000003</v>
      </c>
      <c r="Q50">
        <f>Table1_2[[#This Row],[Ship Date]]-Table1_2[[#This Row],[order date]]</f>
        <v>8</v>
      </c>
      <c r="R50" s="3">
        <f>Table1_2[[#This Row],[Profit]]/Table1_2[[#This Row],[Sales]]</f>
        <v>0.14591679506933744</v>
      </c>
    </row>
    <row r="51" spans="1:18" hidden="1" x14ac:dyDescent="0.3">
      <c r="A51" t="s">
        <v>64</v>
      </c>
      <c r="B51" s="2"/>
      <c r="C51" s="2">
        <v>45289</v>
      </c>
      <c r="D51" t="s">
        <v>1364</v>
      </c>
      <c r="E51" t="s">
        <v>1375</v>
      </c>
      <c r="F51" t="s">
        <v>1704</v>
      </c>
      <c r="G51" t="s">
        <v>1387</v>
      </c>
      <c r="H51" t="s">
        <v>1389</v>
      </c>
      <c r="I51" t="s">
        <v>1394</v>
      </c>
      <c r="J51" t="s">
        <v>1403</v>
      </c>
      <c r="K51" t="s">
        <v>1450</v>
      </c>
      <c r="L51">
        <v>316.66000000000003</v>
      </c>
      <c r="M51">
        <v>2</v>
      </c>
      <c r="N51">
        <v>0.1</v>
      </c>
      <c r="O51">
        <v>-13.37</v>
      </c>
      <c r="P51">
        <v>158.33000000000001</v>
      </c>
      <c r="Q51">
        <f>Table1_2[[#This Row],[Ship Date]]-Table1_2[[#This Row],[order date]]</f>
        <v>45289</v>
      </c>
      <c r="R51">
        <f>Table1_2[[#This Row],[Profit]]/Table1_2[[#This Row],[Sales]]</f>
        <v>-4.2221941514558194E-2</v>
      </c>
    </row>
    <row r="52" spans="1:18" x14ac:dyDescent="0.3">
      <c r="A52" t="s">
        <v>65</v>
      </c>
      <c r="B52" s="2">
        <v>45303</v>
      </c>
      <c r="C52" s="2">
        <v>45313</v>
      </c>
      <c r="D52" t="s">
        <v>1368</v>
      </c>
      <c r="E52" t="s">
        <v>1375</v>
      </c>
      <c r="F52" t="s">
        <v>1704</v>
      </c>
      <c r="G52" t="s">
        <v>1384</v>
      </c>
      <c r="H52" t="s">
        <v>1388</v>
      </c>
      <c r="I52" t="s">
        <v>1393</v>
      </c>
      <c r="J52" t="s">
        <v>1396</v>
      </c>
      <c r="K52" t="s">
        <v>1451</v>
      </c>
      <c r="L52">
        <v>353.94</v>
      </c>
      <c r="M52">
        <v>2</v>
      </c>
      <c r="N52">
        <v>0.1</v>
      </c>
      <c r="O52">
        <v>-18.36</v>
      </c>
      <c r="P52">
        <v>176.97</v>
      </c>
      <c r="Q52">
        <f>Table1_2[[#This Row],[Ship Date]]-Table1_2[[#This Row],[order date]]</f>
        <v>10</v>
      </c>
      <c r="R52" s="3">
        <f>Table1_2[[#This Row],[Profit]]/Table1_2[[#This Row],[Sales]]</f>
        <v>-5.1873198847262249E-2</v>
      </c>
    </row>
    <row r="53" spans="1:18" hidden="1" x14ac:dyDescent="0.3">
      <c r="A53" t="s">
        <v>66</v>
      </c>
      <c r="B53" s="2"/>
      <c r="C53" s="2">
        <v>45133</v>
      </c>
      <c r="D53" t="s">
        <v>1372</v>
      </c>
      <c r="E53" t="s">
        <v>1376</v>
      </c>
      <c r="F53" t="s">
        <v>1704</v>
      </c>
      <c r="G53" t="s">
        <v>1384</v>
      </c>
      <c r="H53" t="s">
        <v>1390</v>
      </c>
      <c r="I53" t="s">
        <v>1393</v>
      </c>
      <c r="J53" t="s">
        <v>1400</v>
      </c>
      <c r="K53" t="s">
        <v>1452</v>
      </c>
      <c r="L53">
        <v>772.69</v>
      </c>
      <c r="M53">
        <v>8</v>
      </c>
      <c r="N53">
        <v>0</v>
      </c>
      <c r="O53">
        <v>182.63</v>
      </c>
      <c r="P53">
        <v>96.586299999999994</v>
      </c>
      <c r="Q53">
        <f>Table1_2[[#This Row],[Ship Date]]-Table1_2[[#This Row],[order date]]</f>
        <v>45133</v>
      </c>
      <c r="R53">
        <f>Table1_2[[#This Row],[Profit]]/Table1_2[[#This Row],[Sales]]</f>
        <v>0.23635610658867073</v>
      </c>
    </row>
    <row r="54" spans="1:18" x14ac:dyDescent="0.3">
      <c r="A54" t="s">
        <v>67</v>
      </c>
      <c r="B54" s="2">
        <v>44820</v>
      </c>
      <c r="C54" s="2">
        <v>44828</v>
      </c>
      <c r="D54" t="s">
        <v>1363</v>
      </c>
      <c r="E54" t="s">
        <v>1374</v>
      </c>
      <c r="F54" t="s">
        <v>1379</v>
      </c>
      <c r="G54" t="s">
        <v>1381</v>
      </c>
      <c r="H54" t="s">
        <v>1390</v>
      </c>
      <c r="I54" t="s">
        <v>1392</v>
      </c>
      <c r="J54" t="s">
        <v>1401</v>
      </c>
      <c r="K54" t="s">
        <v>1453</v>
      </c>
      <c r="L54">
        <v>492.83</v>
      </c>
      <c r="M54">
        <v>2</v>
      </c>
      <c r="N54">
        <v>0</v>
      </c>
      <c r="O54">
        <v>56.54</v>
      </c>
      <c r="P54">
        <v>246.41499999999999</v>
      </c>
      <c r="Q54">
        <f>Table1_2[[#This Row],[Ship Date]]-Table1_2[[#This Row],[order date]]</f>
        <v>8</v>
      </c>
      <c r="R54" s="3">
        <f>Table1_2[[#This Row],[Profit]]/Table1_2[[#This Row],[Sales]]</f>
        <v>0.11472515877686018</v>
      </c>
    </row>
    <row r="55" spans="1:18" x14ac:dyDescent="0.3">
      <c r="A55" t="s">
        <v>68</v>
      </c>
      <c r="B55" s="2">
        <v>45133</v>
      </c>
      <c r="C55" s="2">
        <v>45140</v>
      </c>
      <c r="D55" t="s">
        <v>1362</v>
      </c>
      <c r="E55" t="s">
        <v>1376</v>
      </c>
      <c r="F55" t="s">
        <v>1379</v>
      </c>
      <c r="G55" t="s">
        <v>1383</v>
      </c>
      <c r="H55" t="s">
        <v>1388</v>
      </c>
      <c r="I55" t="s">
        <v>1393</v>
      </c>
      <c r="J55" t="s">
        <v>1396</v>
      </c>
      <c r="K55" t="s">
        <v>1454</v>
      </c>
      <c r="L55">
        <v>953.07</v>
      </c>
      <c r="M55">
        <v>4</v>
      </c>
      <c r="N55">
        <v>0</v>
      </c>
      <c r="O55">
        <v>-9.35</v>
      </c>
      <c r="P55">
        <v>238.26750000000001</v>
      </c>
      <c r="Q55">
        <f>Table1_2[[#This Row],[Ship Date]]-Table1_2[[#This Row],[order date]]</f>
        <v>7</v>
      </c>
      <c r="R55" s="3">
        <f>Table1_2[[#This Row],[Profit]]/Table1_2[[#This Row],[Sales]]</f>
        <v>-9.8104021740270907E-3</v>
      </c>
    </row>
    <row r="56" spans="1:18" hidden="1" x14ac:dyDescent="0.3">
      <c r="A56" t="s">
        <v>69</v>
      </c>
      <c r="B56" s="2"/>
      <c r="C56" s="2">
        <v>45321</v>
      </c>
      <c r="D56" t="s">
        <v>1369</v>
      </c>
      <c r="E56" t="s">
        <v>1375</v>
      </c>
      <c r="F56" t="s">
        <v>1704</v>
      </c>
      <c r="G56" t="s">
        <v>1385</v>
      </c>
      <c r="H56" t="s">
        <v>1389</v>
      </c>
      <c r="I56" t="s">
        <v>1392</v>
      </c>
      <c r="J56" t="s">
        <v>1395</v>
      </c>
      <c r="K56" t="s">
        <v>1455</v>
      </c>
      <c r="L56">
        <v>269.01</v>
      </c>
      <c r="M56">
        <v>2</v>
      </c>
      <c r="N56">
        <v>0.1</v>
      </c>
      <c r="O56">
        <v>-21.54</v>
      </c>
      <c r="P56">
        <v>134.505</v>
      </c>
      <c r="Q56">
        <f>Table1_2[[#This Row],[Ship Date]]-Table1_2[[#This Row],[order date]]</f>
        <v>45321</v>
      </c>
      <c r="R56">
        <f>Table1_2[[#This Row],[Profit]]/Table1_2[[#This Row],[Sales]]</f>
        <v>-8.0071372811419655E-2</v>
      </c>
    </row>
    <row r="57" spans="1:18" x14ac:dyDescent="0.3">
      <c r="A57" t="s">
        <v>70</v>
      </c>
      <c r="B57" s="2">
        <v>44595</v>
      </c>
      <c r="C57" s="2">
        <v>44599</v>
      </c>
      <c r="D57" t="s">
        <v>1364</v>
      </c>
      <c r="E57" t="s">
        <v>1375</v>
      </c>
      <c r="F57" t="s">
        <v>1704</v>
      </c>
      <c r="G57" t="s">
        <v>1381</v>
      </c>
      <c r="H57" t="s">
        <v>1390</v>
      </c>
      <c r="I57" t="s">
        <v>1394</v>
      </c>
      <c r="J57" t="s">
        <v>1398</v>
      </c>
      <c r="K57" t="s">
        <v>1456</v>
      </c>
      <c r="L57">
        <v>353.61</v>
      </c>
      <c r="M57">
        <v>8</v>
      </c>
      <c r="N57">
        <v>0</v>
      </c>
      <c r="O57">
        <v>50.81</v>
      </c>
      <c r="P57">
        <v>44.201300000000003</v>
      </c>
      <c r="Q57">
        <f>Table1_2[[#This Row],[Ship Date]]-Table1_2[[#This Row],[order date]]</f>
        <v>4</v>
      </c>
      <c r="R57" s="3">
        <f>Table1_2[[#This Row],[Profit]]/Table1_2[[#This Row],[Sales]]</f>
        <v>0.14368937530047227</v>
      </c>
    </row>
    <row r="58" spans="1:18" x14ac:dyDescent="0.3">
      <c r="A58" t="s">
        <v>71</v>
      </c>
      <c r="B58" s="2">
        <v>44598</v>
      </c>
      <c r="C58" s="2">
        <v>44719</v>
      </c>
      <c r="D58" t="s">
        <v>1372</v>
      </c>
      <c r="E58" t="s">
        <v>1375</v>
      </c>
      <c r="F58" t="s">
        <v>1704</v>
      </c>
      <c r="G58" t="s">
        <v>1382</v>
      </c>
      <c r="H58" t="s">
        <v>1391</v>
      </c>
      <c r="I58" t="s">
        <v>1392</v>
      </c>
      <c r="J58" t="s">
        <v>1401</v>
      </c>
      <c r="K58" t="s">
        <v>1457</v>
      </c>
      <c r="L58">
        <v>90.37</v>
      </c>
      <c r="M58">
        <v>5</v>
      </c>
      <c r="N58">
        <v>0</v>
      </c>
      <c r="O58">
        <v>15.77</v>
      </c>
      <c r="P58">
        <v>18.074000000000002</v>
      </c>
      <c r="Q58">
        <f>Table1_2[[#This Row],[Ship Date]]-Table1_2[[#This Row],[order date]]</f>
        <v>121</v>
      </c>
      <c r="R58" s="3">
        <f>Table1_2[[#This Row],[Profit]]/Table1_2[[#This Row],[Sales]]</f>
        <v>0.17450481354431779</v>
      </c>
    </row>
    <row r="59" spans="1:18" x14ac:dyDescent="0.3">
      <c r="A59" t="s">
        <v>72</v>
      </c>
      <c r="B59" s="2">
        <v>44974</v>
      </c>
      <c r="C59" s="2">
        <v>44979</v>
      </c>
      <c r="D59" t="s">
        <v>1362</v>
      </c>
      <c r="E59" t="s">
        <v>1376</v>
      </c>
      <c r="F59" t="s">
        <v>1379</v>
      </c>
      <c r="G59" t="s">
        <v>1381</v>
      </c>
      <c r="H59" t="s">
        <v>1390</v>
      </c>
      <c r="I59" t="s">
        <v>1393</v>
      </c>
      <c r="J59" t="s">
        <v>1396</v>
      </c>
      <c r="K59" t="s">
        <v>1458</v>
      </c>
      <c r="L59">
        <v>602.67999999999995</v>
      </c>
      <c r="M59">
        <v>2</v>
      </c>
      <c r="N59">
        <v>0</v>
      </c>
      <c r="O59">
        <v>-108.52</v>
      </c>
      <c r="P59">
        <v>301.33999999999997</v>
      </c>
      <c r="Q59">
        <f>Table1_2[[#This Row],[Ship Date]]-Table1_2[[#This Row],[order date]]</f>
        <v>5</v>
      </c>
      <c r="R59" s="3">
        <f>Table1_2[[#This Row],[Profit]]/Table1_2[[#This Row],[Sales]]</f>
        <v>-0.1800623880002655</v>
      </c>
    </row>
    <row r="60" spans="1:18" x14ac:dyDescent="0.3">
      <c r="A60" t="s">
        <v>73</v>
      </c>
      <c r="B60" s="2">
        <v>45418</v>
      </c>
      <c r="C60" s="2">
        <v>45428</v>
      </c>
      <c r="D60" t="s">
        <v>1365</v>
      </c>
      <c r="E60" t="s">
        <v>1374</v>
      </c>
      <c r="F60" t="s">
        <v>1704</v>
      </c>
      <c r="G60" t="s">
        <v>1384</v>
      </c>
      <c r="H60" t="s">
        <v>1390</v>
      </c>
      <c r="I60" t="s">
        <v>1393</v>
      </c>
      <c r="J60" t="s">
        <v>1400</v>
      </c>
      <c r="K60" t="s">
        <v>1459</v>
      </c>
      <c r="L60">
        <v>1199.5</v>
      </c>
      <c r="M60">
        <v>5</v>
      </c>
      <c r="N60">
        <v>0</v>
      </c>
      <c r="O60">
        <v>-215.77</v>
      </c>
      <c r="P60">
        <v>239.9</v>
      </c>
      <c r="Q60">
        <f>Table1_2[[#This Row],[Ship Date]]-Table1_2[[#This Row],[order date]]</f>
        <v>10</v>
      </c>
      <c r="R60" s="3">
        <f>Table1_2[[#This Row],[Profit]]/Table1_2[[#This Row],[Sales]]</f>
        <v>-0.17988328470195916</v>
      </c>
    </row>
    <row r="61" spans="1:18" x14ac:dyDescent="0.3">
      <c r="A61" t="s">
        <v>74</v>
      </c>
      <c r="B61" s="2">
        <v>45008</v>
      </c>
      <c r="C61" s="2">
        <v>45016</v>
      </c>
      <c r="D61" t="s">
        <v>1372</v>
      </c>
      <c r="E61" t="s">
        <v>1374</v>
      </c>
      <c r="F61" t="s">
        <v>1704</v>
      </c>
      <c r="G61" t="s">
        <v>1384</v>
      </c>
      <c r="H61" t="s">
        <v>1389</v>
      </c>
      <c r="I61" t="s">
        <v>1392</v>
      </c>
      <c r="J61" t="s">
        <v>1397</v>
      </c>
      <c r="K61" t="s">
        <v>1460</v>
      </c>
      <c r="L61">
        <v>430.59</v>
      </c>
      <c r="M61">
        <v>6</v>
      </c>
      <c r="N61">
        <v>0.15</v>
      </c>
      <c r="O61">
        <v>58.16</v>
      </c>
      <c r="P61">
        <v>71.765000000000001</v>
      </c>
      <c r="Q61">
        <f>Table1_2[[#This Row],[Ship Date]]-Table1_2[[#This Row],[order date]]</f>
        <v>8</v>
      </c>
      <c r="R61" s="3">
        <f>Table1_2[[#This Row],[Profit]]/Table1_2[[#This Row],[Sales]]</f>
        <v>0.13507048468380595</v>
      </c>
    </row>
    <row r="62" spans="1:18" x14ac:dyDescent="0.3">
      <c r="A62" t="s">
        <v>75</v>
      </c>
      <c r="B62" s="2">
        <v>45125</v>
      </c>
      <c r="C62" s="2">
        <v>45126</v>
      </c>
      <c r="D62" t="s">
        <v>1359</v>
      </c>
      <c r="E62" t="s">
        <v>1374</v>
      </c>
      <c r="F62" t="s">
        <v>1704</v>
      </c>
      <c r="G62" t="s">
        <v>1385</v>
      </c>
      <c r="H62" t="s">
        <v>1388</v>
      </c>
      <c r="I62" t="s">
        <v>1394</v>
      </c>
      <c r="J62" t="s">
        <v>1402</v>
      </c>
      <c r="K62" t="s">
        <v>1461</v>
      </c>
      <c r="L62">
        <v>391.13</v>
      </c>
      <c r="M62">
        <v>6</v>
      </c>
      <c r="N62">
        <v>0</v>
      </c>
      <c r="O62">
        <v>111.51</v>
      </c>
      <c r="P62">
        <v>65.188299999999998</v>
      </c>
      <c r="Q62">
        <f>Table1_2[[#This Row],[Ship Date]]-Table1_2[[#This Row],[order date]]</f>
        <v>1</v>
      </c>
      <c r="R62" s="3">
        <f>Table1_2[[#This Row],[Profit]]/Table1_2[[#This Row],[Sales]]</f>
        <v>0.285097026564058</v>
      </c>
    </row>
    <row r="63" spans="1:18" x14ac:dyDescent="0.3">
      <c r="A63" t="s">
        <v>76</v>
      </c>
      <c r="B63" s="2">
        <v>45092</v>
      </c>
      <c r="C63" s="2">
        <v>45098</v>
      </c>
      <c r="D63" t="s">
        <v>1372</v>
      </c>
      <c r="E63" t="s">
        <v>1374</v>
      </c>
      <c r="F63" t="s">
        <v>1704</v>
      </c>
      <c r="G63" t="s">
        <v>1381</v>
      </c>
      <c r="H63" t="s">
        <v>1388</v>
      </c>
      <c r="I63" t="s">
        <v>1393</v>
      </c>
      <c r="J63" t="s">
        <v>1399</v>
      </c>
      <c r="K63" t="s">
        <v>1462</v>
      </c>
      <c r="L63">
        <v>757.98</v>
      </c>
      <c r="M63">
        <v>1</v>
      </c>
      <c r="N63">
        <v>0.1</v>
      </c>
      <c r="O63">
        <v>-50.38</v>
      </c>
      <c r="P63">
        <v>757.98</v>
      </c>
      <c r="Q63">
        <f>Table1_2[[#This Row],[Ship Date]]-Table1_2[[#This Row],[order date]]</f>
        <v>6</v>
      </c>
      <c r="R63" s="3">
        <f>Table1_2[[#This Row],[Profit]]/Table1_2[[#This Row],[Sales]]</f>
        <v>-6.646613367107311E-2</v>
      </c>
    </row>
    <row r="64" spans="1:18" x14ac:dyDescent="0.3">
      <c r="A64" t="s">
        <v>77</v>
      </c>
      <c r="B64" s="2">
        <v>45185</v>
      </c>
      <c r="C64" s="2">
        <v>45189</v>
      </c>
      <c r="D64" t="s">
        <v>1366</v>
      </c>
      <c r="E64" t="s">
        <v>1375</v>
      </c>
      <c r="F64" t="s">
        <v>1704</v>
      </c>
      <c r="G64" t="s">
        <v>1385</v>
      </c>
      <c r="H64" t="s">
        <v>1391</v>
      </c>
      <c r="I64" t="s">
        <v>1393</v>
      </c>
      <c r="J64" t="s">
        <v>1400</v>
      </c>
      <c r="K64" t="s">
        <v>1463</v>
      </c>
      <c r="L64">
        <v>386.69</v>
      </c>
      <c r="M64">
        <v>1</v>
      </c>
      <c r="N64">
        <v>0</v>
      </c>
      <c r="O64">
        <v>1.54</v>
      </c>
      <c r="P64">
        <v>386.69</v>
      </c>
      <c r="Q64">
        <f>Table1_2[[#This Row],[Ship Date]]-Table1_2[[#This Row],[order date]]</f>
        <v>4</v>
      </c>
      <c r="R64" s="3">
        <f>Table1_2[[#This Row],[Profit]]/Table1_2[[#This Row],[Sales]]</f>
        <v>3.9825182963097059E-3</v>
      </c>
    </row>
    <row r="65" spans="1:18" x14ac:dyDescent="0.3">
      <c r="A65" t="s">
        <v>78</v>
      </c>
      <c r="B65" s="2">
        <v>45284</v>
      </c>
      <c r="C65" s="2">
        <v>45289</v>
      </c>
      <c r="D65" t="s">
        <v>1370</v>
      </c>
      <c r="E65" t="s">
        <v>1374</v>
      </c>
      <c r="F65" t="s">
        <v>1704</v>
      </c>
      <c r="G65" t="s">
        <v>1386</v>
      </c>
      <c r="H65" t="s">
        <v>1388</v>
      </c>
      <c r="I65" t="s">
        <v>1394</v>
      </c>
      <c r="J65" t="s">
        <v>1403</v>
      </c>
      <c r="K65" t="s">
        <v>1450</v>
      </c>
      <c r="L65">
        <v>1176.69</v>
      </c>
      <c r="M65">
        <v>4</v>
      </c>
      <c r="N65">
        <v>0.2</v>
      </c>
      <c r="O65">
        <v>89</v>
      </c>
      <c r="P65">
        <v>294.17250000000001</v>
      </c>
      <c r="Q65">
        <f>Table1_2[[#This Row],[Ship Date]]-Table1_2[[#This Row],[order date]]</f>
        <v>5</v>
      </c>
      <c r="R65" s="3">
        <f>Table1_2[[#This Row],[Profit]]/Table1_2[[#This Row],[Sales]]</f>
        <v>7.5635893905786566E-2</v>
      </c>
    </row>
    <row r="66" spans="1:18" x14ac:dyDescent="0.3">
      <c r="A66" t="s">
        <v>79</v>
      </c>
      <c r="B66" s="2">
        <v>45325</v>
      </c>
      <c r="C66" s="2">
        <v>45360</v>
      </c>
      <c r="D66" t="s">
        <v>1364</v>
      </c>
      <c r="E66" t="s">
        <v>1376</v>
      </c>
      <c r="F66" t="s">
        <v>1704</v>
      </c>
      <c r="G66" t="s">
        <v>1385</v>
      </c>
      <c r="H66" t="s">
        <v>1389</v>
      </c>
      <c r="I66" t="s">
        <v>1394</v>
      </c>
      <c r="J66" t="s">
        <v>1398</v>
      </c>
      <c r="K66" t="s">
        <v>1464</v>
      </c>
      <c r="L66">
        <v>335.26</v>
      </c>
      <c r="M66">
        <v>1</v>
      </c>
      <c r="N66">
        <v>0.15</v>
      </c>
      <c r="O66">
        <v>54.66</v>
      </c>
      <c r="P66">
        <v>335.26</v>
      </c>
      <c r="Q66">
        <f>Table1_2[[#This Row],[Ship Date]]-Table1_2[[#This Row],[order date]]</f>
        <v>35</v>
      </c>
      <c r="R66" s="3">
        <f>Table1_2[[#This Row],[Profit]]/Table1_2[[#This Row],[Sales]]</f>
        <v>0.16303764242677324</v>
      </c>
    </row>
    <row r="67" spans="1:18" x14ac:dyDescent="0.3">
      <c r="A67" t="s">
        <v>80</v>
      </c>
      <c r="B67" s="2">
        <v>44902</v>
      </c>
      <c r="C67" s="2">
        <v>44911</v>
      </c>
      <c r="D67" t="s">
        <v>1360</v>
      </c>
      <c r="E67" t="s">
        <v>1375</v>
      </c>
      <c r="F67" t="s">
        <v>1704</v>
      </c>
      <c r="G67" t="s">
        <v>1381</v>
      </c>
      <c r="H67" t="s">
        <v>1391</v>
      </c>
      <c r="I67" t="s">
        <v>1393</v>
      </c>
      <c r="J67" t="s">
        <v>1399</v>
      </c>
      <c r="K67" t="s">
        <v>1465</v>
      </c>
      <c r="L67">
        <v>557.30999999999995</v>
      </c>
      <c r="M67">
        <v>6</v>
      </c>
      <c r="N67">
        <v>0.1</v>
      </c>
      <c r="O67">
        <v>161.84</v>
      </c>
      <c r="P67">
        <v>92.885000000000005</v>
      </c>
      <c r="Q67">
        <f>Table1_2[[#This Row],[Ship Date]]-Table1_2[[#This Row],[order date]]</f>
        <v>9</v>
      </c>
      <c r="R67" s="3">
        <f>Table1_2[[#This Row],[Profit]]/Table1_2[[#This Row],[Sales]]</f>
        <v>0.29039493280221063</v>
      </c>
    </row>
    <row r="68" spans="1:18" x14ac:dyDescent="0.3">
      <c r="A68" t="s">
        <v>81</v>
      </c>
      <c r="B68" s="2">
        <v>45046</v>
      </c>
      <c r="C68" s="2">
        <v>45053</v>
      </c>
      <c r="D68" t="s">
        <v>1364</v>
      </c>
      <c r="E68" t="s">
        <v>1376</v>
      </c>
      <c r="F68" t="s">
        <v>1379</v>
      </c>
      <c r="G68" t="s">
        <v>1386</v>
      </c>
      <c r="H68" t="s">
        <v>1389</v>
      </c>
      <c r="I68" t="s">
        <v>1394</v>
      </c>
      <c r="J68" t="s">
        <v>1398</v>
      </c>
      <c r="K68" t="s">
        <v>1407</v>
      </c>
      <c r="L68">
        <v>955.02</v>
      </c>
      <c r="M68">
        <v>3</v>
      </c>
      <c r="N68">
        <v>0.2</v>
      </c>
      <c r="O68">
        <v>269.70999999999998</v>
      </c>
      <c r="P68">
        <v>318.33999999999997</v>
      </c>
      <c r="Q68">
        <f>Table1_2[[#This Row],[Ship Date]]-Table1_2[[#This Row],[order date]]</f>
        <v>7</v>
      </c>
      <c r="R68" s="3">
        <f>Table1_2[[#This Row],[Profit]]/Table1_2[[#This Row],[Sales]]</f>
        <v>0.28241293376054949</v>
      </c>
    </row>
    <row r="69" spans="1:18" x14ac:dyDescent="0.3">
      <c r="A69" t="s">
        <v>82</v>
      </c>
      <c r="B69" s="2">
        <v>45100</v>
      </c>
      <c r="C69" s="2">
        <v>45108</v>
      </c>
      <c r="D69" t="s">
        <v>1362</v>
      </c>
      <c r="E69" t="s">
        <v>1374</v>
      </c>
      <c r="F69" t="s">
        <v>1704</v>
      </c>
      <c r="G69" t="s">
        <v>1382</v>
      </c>
      <c r="H69" t="s">
        <v>1388</v>
      </c>
      <c r="I69" t="s">
        <v>1392</v>
      </c>
      <c r="J69" t="s">
        <v>1395</v>
      </c>
      <c r="K69" t="s">
        <v>1466</v>
      </c>
      <c r="L69">
        <v>190.1</v>
      </c>
      <c r="M69">
        <v>3</v>
      </c>
      <c r="N69">
        <v>0</v>
      </c>
      <c r="O69">
        <v>6.61</v>
      </c>
      <c r="P69">
        <v>63.366700000000002</v>
      </c>
      <c r="Q69">
        <f>Table1_2[[#This Row],[Ship Date]]-Table1_2[[#This Row],[order date]]</f>
        <v>8</v>
      </c>
      <c r="R69" s="3">
        <f>Table1_2[[#This Row],[Profit]]/Table1_2[[#This Row],[Sales]]</f>
        <v>3.4771173066806944E-2</v>
      </c>
    </row>
    <row r="70" spans="1:18" x14ac:dyDescent="0.3">
      <c r="A70" t="s">
        <v>83</v>
      </c>
      <c r="B70" s="2">
        <v>45434</v>
      </c>
      <c r="C70" s="2">
        <v>45443</v>
      </c>
      <c r="D70" t="s">
        <v>1370</v>
      </c>
      <c r="E70" t="s">
        <v>1374</v>
      </c>
      <c r="F70" t="s">
        <v>1379</v>
      </c>
      <c r="G70" t="s">
        <v>1387</v>
      </c>
      <c r="H70" t="s">
        <v>1388</v>
      </c>
      <c r="I70" t="s">
        <v>1394</v>
      </c>
      <c r="J70" t="s">
        <v>1403</v>
      </c>
      <c r="K70" t="s">
        <v>1467</v>
      </c>
      <c r="L70">
        <v>759.62</v>
      </c>
      <c r="M70">
        <v>8</v>
      </c>
      <c r="N70">
        <v>0</v>
      </c>
      <c r="O70">
        <v>-138.29</v>
      </c>
      <c r="P70">
        <v>94.952500000000001</v>
      </c>
      <c r="Q70">
        <f>Table1_2[[#This Row],[Ship Date]]-Table1_2[[#This Row],[order date]]</f>
        <v>9</v>
      </c>
      <c r="R70" s="3">
        <f>Table1_2[[#This Row],[Profit]]/Table1_2[[#This Row],[Sales]]</f>
        <v>-0.18205155209183538</v>
      </c>
    </row>
    <row r="71" spans="1:18" x14ac:dyDescent="0.3">
      <c r="A71" t="s">
        <v>84</v>
      </c>
      <c r="B71" s="2">
        <v>44662</v>
      </c>
      <c r="C71" s="2">
        <v>44664</v>
      </c>
      <c r="D71" t="s">
        <v>1372</v>
      </c>
      <c r="E71" t="s">
        <v>1376</v>
      </c>
      <c r="F71" t="s">
        <v>1704</v>
      </c>
      <c r="G71" t="s">
        <v>1387</v>
      </c>
      <c r="H71" t="s">
        <v>1390</v>
      </c>
      <c r="I71" t="s">
        <v>1394</v>
      </c>
      <c r="J71" t="s">
        <v>1402</v>
      </c>
      <c r="K71" t="s">
        <v>1468</v>
      </c>
      <c r="L71">
        <v>838.92</v>
      </c>
      <c r="M71">
        <v>1</v>
      </c>
      <c r="N71">
        <v>0</v>
      </c>
      <c r="O71">
        <v>-31.72</v>
      </c>
      <c r="P71">
        <v>838.92</v>
      </c>
      <c r="Q71">
        <f>Table1_2[[#This Row],[Ship Date]]-Table1_2[[#This Row],[order date]]</f>
        <v>2</v>
      </c>
      <c r="R71" s="3">
        <f>Table1_2[[#This Row],[Profit]]/Table1_2[[#This Row],[Sales]]</f>
        <v>-3.7810518285414582E-2</v>
      </c>
    </row>
    <row r="72" spans="1:18" hidden="1" x14ac:dyDescent="0.3">
      <c r="A72" t="s">
        <v>85</v>
      </c>
      <c r="B72" s="2"/>
      <c r="C72" s="2">
        <v>44993</v>
      </c>
      <c r="D72" t="s">
        <v>1368</v>
      </c>
      <c r="E72" t="s">
        <v>1374</v>
      </c>
      <c r="F72" t="s">
        <v>1704</v>
      </c>
      <c r="G72" t="s">
        <v>1387</v>
      </c>
      <c r="H72" t="s">
        <v>1389</v>
      </c>
      <c r="I72" t="s">
        <v>1393</v>
      </c>
      <c r="J72" t="s">
        <v>1400</v>
      </c>
      <c r="K72" t="s">
        <v>1469</v>
      </c>
      <c r="L72">
        <v>220.58</v>
      </c>
      <c r="M72">
        <v>2</v>
      </c>
      <c r="N72">
        <v>0</v>
      </c>
      <c r="O72">
        <v>51.93</v>
      </c>
      <c r="P72">
        <v>110.29</v>
      </c>
      <c r="Q72">
        <f>Table1_2[[#This Row],[Ship Date]]-Table1_2[[#This Row],[order date]]</f>
        <v>44993</v>
      </c>
      <c r="R72">
        <f>Table1_2[[#This Row],[Profit]]/Table1_2[[#This Row],[Sales]]</f>
        <v>0.23542478919212984</v>
      </c>
    </row>
    <row r="73" spans="1:18" x14ac:dyDescent="0.3">
      <c r="A73" t="s">
        <v>86</v>
      </c>
      <c r="B73" s="2">
        <v>44822</v>
      </c>
      <c r="C73" s="2">
        <v>44830</v>
      </c>
      <c r="D73" t="s">
        <v>1366</v>
      </c>
      <c r="E73" t="s">
        <v>1376</v>
      </c>
      <c r="F73" t="s">
        <v>1379</v>
      </c>
      <c r="G73" t="s">
        <v>1382</v>
      </c>
      <c r="H73" t="s">
        <v>1389</v>
      </c>
      <c r="I73" t="s">
        <v>1394</v>
      </c>
      <c r="J73" t="s">
        <v>1398</v>
      </c>
      <c r="K73" t="s">
        <v>1470</v>
      </c>
      <c r="L73">
        <v>31.09</v>
      </c>
      <c r="M73">
        <v>8</v>
      </c>
      <c r="N73">
        <v>0.15</v>
      </c>
      <c r="O73">
        <v>4.32</v>
      </c>
      <c r="P73">
        <v>3.8862000000000001</v>
      </c>
      <c r="Q73">
        <f>Table1_2[[#This Row],[Ship Date]]-Table1_2[[#This Row],[order date]]</f>
        <v>8</v>
      </c>
      <c r="R73" s="3">
        <f>Table1_2[[#This Row],[Profit]]/Table1_2[[#This Row],[Sales]]</f>
        <v>0.13895143132840143</v>
      </c>
    </row>
    <row r="74" spans="1:18" hidden="1" x14ac:dyDescent="0.3">
      <c r="A74" t="s">
        <v>87</v>
      </c>
      <c r="B74" s="2"/>
      <c r="C74" s="2">
        <v>44826</v>
      </c>
      <c r="D74" t="s">
        <v>1362</v>
      </c>
      <c r="E74" t="s">
        <v>1376</v>
      </c>
      <c r="F74" t="s">
        <v>1379</v>
      </c>
      <c r="G74" t="s">
        <v>1381</v>
      </c>
      <c r="H74" t="s">
        <v>1389</v>
      </c>
      <c r="I74" t="s">
        <v>1394</v>
      </c>
      <c r="J74" t="s">
        <v>1402</v>
      </c>
      <c r="K74" t="s">
        <v>1471</v>
      </c>
      <c r="L74">
        <v>1199.26</v>
      </c>
      <c r="M74">
        <v>8</v>
      </c>
      <c r="N74">
        <v>0</v>
      </c>
      <c r="O74">
        <v>-97.62</v>
      </c>
      <c r="P74">
        <v>149.9075</v>
      </c>
      <c r="Q74">
        <f>Table1_2[[#This Row],[Ship Date]]-Table1_2[[#This Row],[order date]]</f>
        <v>44826</v>
      </c>
      <c r="R74">
        <f>Table1_2[[#This Row],[Profit]]/Table1_2[[#This Row],[Sales]]</f>
        <v>-8.1400196788019283E-2</v>
      </c>
    </row>
    <row r="75" spans="1:18" x14ac:dyDescent="0.3">
      <c r="A75" t="s">
        <v>88</v>
      </c>
      <c r="B75" s="2">
        <v>44570</v>
      </c>
      <c r="C75" s="2">
        <v>44580</v>
      </c>
      <c r="D75" t="s">
        <v>1370</v>
      </c>
      <c r="E75" t="s">
        <v>1376</v>
      </c>
      <c r="F75" t="s">
        <v>1704</v>
      </c>
      <c r="G75" t="s">
        <v>1382</v>
      </c>
      <c r="H75" t="s">
        <v>1390</v>
      </c>
      <c r="I75" t="s">
        <v>1393</v>
      </c>
      <c r="J75" t="s">
        <v>1396</v>
      </c>
      <c r="K75" t="s">
        <v>1454</v>
      </c>
      <c r="L75">
        <v>1168.8499999999999</v>
      </c>
      <c r="M75">
        <v>10</v>
      </c>
      <c r="N75">
        <v>0.2</v>
      </c>
      <c r="O75">
        <v>252.96</v>
      </c>
      <c r="P75">
        <v>116.88500000000001</v>
      </c>
      <c r="Q75">
        <f>Table1_2[[#This Row],[Ship Date]]-Table1_2[[#This Row],[order date]]</f>
        <v>10</v>
      </c>
      <c r="R75" s="3">
        <f>Table1_2[[#This Row],[Profit]]/Table1_2[[#This Row],[Sales]]</f>
        <v>0.21641784660136035</v>
      </c>
    </row>
    <row r="76" spans="1:18" x14ac:dyDescent="0.3">
      <c r="A76" t="s">
        <v>89</v>
      </c>
      <c r="B76" s="2">
        <v>44818</v>
      </c>
      <c r="C76" s="2">
        <v>44821</v>
      </c>
      <c r="D76" t="s">
        <v>1360</v>
      </c>
      <c r="E76" t="s">
        <v>1374</v>
      </c>
      <c r="F76" t="s">
        <v>1704</v>
      </c>
      <c r="G76" t="s">
        <v>1381</v>
      </c>
      <c r="H76" t="s">
        <v>1391</v>
      </c>
      <c r="I76" t="s">
        <v>1393</v>
      </c>
      <c r="J76" t="s">
        <v>1400</v>
      </c>
      <c r="K76" t="s">
        <v>1472</v>
      </c>
      <c r="L76">
        <v>1086.02</v>
      </c>
      <c r="M76">
        <v>1</v>
      </c>
      <c r="N76">
        <v>0.15</v>
      </c>
      <c r="O76">
        <v>211.02</v>
      </c>
      <c r="P76">
        <v>1086.02</v>
      </c>
      <c r="Q76">
        <f>Table1_2[[#This Row],[Ship Date]]-Table1_2[[#This Row],[order date]]</f>
        <v>3</v>
      </c>
      <c r="R76" s="3">
        <f>Table1_2[[#This Row],[Profit]]/Table1_2[[#This Row],[Sales]]</f>
        <v>0.19430581388924698</v>
      </c>
    </row>
    <row r="77" spans="1:18" x14ac:dyDescent="0.3">
      <c r="A77" t="s">
        <v>90</v>
      </c>
      <c r="B77" s="2">
        <v>45327</v>
      </c>
      <c r="C77" s="2">
        <v>45334</v>
      </c>
      <c r="D77" t="s">
        <v>1368</v>
      </c>
      <c r="E77" t="s">
        <v>1376</v>
      </c>
      <c r="F77" t="s">
        <v>1379</v>
      </c>
      <c r="G77" t="s">
        <v>1382</v>
      </c>
      <c r="H77" t="s">
        <v>1391</v>
      </c>
      <c r="I77" t="s">
        <v>1392</v>
      </c>
      <c r="J77" t="s">
        <v>1401</v>
      </c>
      <c r="K77" t="s">
        <v>1453</v>
      </c>
      <c r="L77">
        <v>175.95</v>
      </c>
      <c r="M77">
        <v>9</v>
      </c>
      <c r="N77">
        <v>0.15</v>
      </c>
      <c r="O77">
        <v>11.51</v>
      </c>
      <c r="P77">
        <v>19.55</v>
      </c>
      <c r="Q77">
        <f>Table1_2[[#This Row],[Ship Date]]-Table1_2[[#This Row],[order date]]</f>
        <v>7</v>
      </c>
      <c r="R77" s="3">
        <f>Table1_2[[#This Row],[Profit]]/Table1_2[[#This Row],[Sales]]</f>
        <v>6.5416311452117085E-2</v>
      </c>
    </row>
    <row r="78" spans="1:18" x14ac:dyDescent="0.3">
      <c r="A78" t="s">
        <v>91</v>
      </c>
      <c r="B78" s="2">
        <v>45041</v>
      </c>
      <c r="C78" s="2">
        <v>45043</v>
      </c>
      <c r="D78" t="s">
        <v>1366</v>
      </c>
      <c r="E78" t="s">
        <v>1374</v>
      </c>
      <c r="F78" t="s">
        <v>1379</v>
      </c>
      <c r="G78" t="s">
        <v>1385</v>
      </c>
      <c r="H78" t="s">
        <v>1391</v>
      </c>
      <c r="I78" t="s">
        <v>1392</v>
      </c>
      <c r="J78" t="s">
        <v>1401</v>
      </c>
      <c r="K78" t="s">
        <v>1473</v>
      </c>
      <c r="L78">
        <v>1034.97</v>
      </c>
      <c r="M78">
        <v>7</v>
      </c>
      <c r="N78">
        <v>0</v>
      </c>
      <c r="O78">
        <v>-17.71</v>
      </c>
      <c r="P78">
        <v>147.85290000000001</v>
      </c>
      <c r="Q78">
        <f>Table1_2[[#This Row],[Ship Date]]-Table1_2[[#This Row],[order date]]</f>
        <v>2</v>
      </c>
      <c r="R78" s="3">
        <f>Table1_2[[#This Row],[Profit]]/Table1_2[[#This Row],[Sales]]</f>
        <v>-1.7111607099722696E-2</v>
      </c>
    </row>
    <row r="79" spans="1:18" x14ac:dyDescent="0.3">
      <c r="A79" t="s">
        <v>92</v>
      </c>
      <c r="B79" s="2">
        <v>45328</v>
      </c>
      <c r="C79" s="2">
        <v>45333</v>
      </c>
      <c r="D79" t="s">
        <v>1361</v>
      </c>
      <c r="E79" t="s">
        <v>1374</v>
      </c>
      <c r="F79" t="s">
        <v>1379</v>
      </c>
      <c r="G79" t="s">
        <v>1383</v>
      </c>
      <c r="H79" t="s">
        <v>1390</v>
      </c>
      <c r="I79" t="s">
        <v>1393</v>
      </c>
      <c r="J79" t="s">
        <v>1399</v>
      </c>
      <c r="K79" t="s">
        <v>1448</v>
      </c>
      <c r="L79">
        <v>990.45</v>
      </c>
      <c r="M79">
        <v>6</v>
      </c>
      <c r="N79">
        <v>0</v>
      </c>
      <c r="O79">
        <v>136.11000000000001</v>
      </c>
      <c r="P79">
        <v>165.07499999999999</v>
      </c>
      <c r="Q79">
        <f>Table1_2[[#This Row],[Ship Date]]-Table1_2[[#This Row],[order date]]</f>
        <v>5</v>
      </c>
      <c r="R79" s="3">
        <f>Table1_2[[#This Row],[Profit]]/Table1_2[[#This Row],[Sales]]</f>
        <v>0.13742238376495533</v>
      </c>
    </row>
    <row r="80" spans="1:18" x14ac:dyDescent="0.3">
      <c r="A80" t="s">
        <v>93</v>
      </c>
      <c r="B80" s="2">
        <v>44626</v>
      </c>
      <c r="C80" s="2">
        <v>44634</v>
      </c>
      <c r="D80" t="s">
        <v>1372</v>
      </c>
      <c r="E80" t="s">
        <v>1375</v>
      </c>
      <c r="F80" t="s">
        <v>1379</v>
      </c>
      <c r="G80" t="s">
        <v>1387</v>
      </c>
      <c r="H80" t="s">
        <v>1390</v>
      </c>
      <c r="I80" t="s">
        <v>1393</v>
      </c>
      <c r="J80" t="s">
        <v>1399</v>
      </c>
      <c r="K80" t="s">
        <v>1474</v>
      </c>
      <c r="L80">
        <v>786.1</v>
      </c>
      <c r="M80">
        <v>2</v>
      </c>
      <c r="N80">
        <v>0.1</v>
      </c>
      <c r="O80">
        <v>-139.4</v>
      </c>
      <c r="P80">
        <v>393.05</v>
      </c>
      <c r="Q80">
        <f>Table1_2[[#This Row],[Ship Date]]-Table1_2[[#This Row],[order date]]</f>
        <v>8</v>
      </c>
      <c r="R80" s="3">
        <f>Table1_2[[#This Row],[Profit]]/Table1_2[[#This Row],[Sales]]</f>
        <v>-0.17733112835517109</v>
      </c>
    </row>
    <row r="81" spans="1:18" hidden="1" x14ac:dyDescent="0.3">
      <c r="A81" t="s">
        <v>94</v>
      </c>
      <c r="B81" s="2">
        <v>45203</v>
      </c>
      <c r="C81" s="2">
        <v>45032</v>
      </c>
      <c r="D81" t="s">
        <v>1368</v>
      </c>
      <c r="E81" t="s">
        <v>1374</v>
      </c>
      <c r="F81" t="s">
        <v>1379</v>
      </c>
      <c r="G81" t="s">
        <v>1386</v>
      </c>
      <c r="H81" t="s">
        <v>1389</v>
      </c>
      <c r="I81" t="s">
        <v>1393</v>
      </c>
      <c r="J81" t="s">
        <v>1396</v>
      </c>
      <c r="K81" t="s">
        <v>1454</v>
      </c>
      <c r="L81">
        <v>841.85</v>
      </c>
      <c r="M81">
        <v>9</v>
      </c>
      <c r="N81">
        <v>0.2</v>
      </c>
      <c r="O81">
        <v>78.86</v>
      </c>
      <c r="P81">
        <v>93.538899999999998</v>
      </c>
      <c r="Q81">
        <f>Table1_2[[#This Row],[Ship Date]]-Table1_2[[#This Row],[order date]]</f>
        <v>-171</v>
      </c>
      <c r="R81">
        <f>Table1_2[[#This Row],[Profit]]/Table1_2[[#This Row],[Sales]]</f>
        <v>9.3674645126804054E-2</v>
      </c>
    </row>
    <row r="82" spans="1:18" x14ac:dyDescent="0.3">
      <c r="A82" t="s">
        <v>95</v>
      </c>
      <c r="B82" s="2">
        <v>44979</v>
      </c>
      <c r="C82" s="2">
        <v>44984</v>
      </c>
      <c r="D82" t="s">
        <v>1361</v>
      </c>
      <c r="E82" t="s">
        <v>1376</v>
      </c>
      <c r="F82" t="s">
        <v>1379</v>
      </c>
      <c r="G82" t="s">
        <v>1381</v>
      </c>
      <c r="H82" t="s">
        <v>1389</v>
      </c>
      <c r="I82" t="s">
        <v>1392</v>
      </c>
      <c r="J82" t="s">
        <v>1395</v>
      </c>
      <c r="K82" t="s">
        <v>1475</v>
      </c>
      <c r="L82">
        <v>457.23</v>
      </c>
      <c r="M82">
        <v>8</v>
      </c>
      <c r="N82">
        <v>0.2</v>
      </c>
      <c r="O82">
        <v>125.87</v>
      </c>
      <c r="P82">
        <v>57.153799999999997</v>
      </c>
      <c r="Q82">
        <f>Table1_2[[#This Row],[Ship Date]]-Table1_2[[#This Row],[order date]]</f>
        <v>5</v>
      </c>
      <c r="R82" s="3">
        <f>Table1_2[[#This Row],[Profit]]/Table1_2[[#This Row],[Sales]]</f>
        <v>0.27528814819675002</v>
      </c>
    </row>
    <row r="83" spans="1:18" x14ac:dyDescent="0.3">
      <c r="A83" t="s">
        <v>96</v>
      </c>
      <c r="B83" s="2">
        <v>44756</v>
      </c>
      <c r="C83" s="2">
        <v>44758</v>
      </c>
      <c r="D83" t="s">
        <v>1363</v>
      </c>
      <c r="E83" t="s">
        <v>1374</v>
      </c>
      <c r="F83" t="s">
        <v>1704</v>
      </c>
      <c r="G83" t="s">
        <v>1381</v>
      </c>
      <c r="H83" t="s">
        <v>1390</v>
      </c>
      <c r="I83" t="s">
        <v>1394</v>
      </c>
      <c r="J83" t="s">
        <v>1402</v>
      </c>
      <c r="K83" t="s">
        <v>1476</v>
      </c>
      <c r="L83">
        <v>802.07</v>
      </c>
      <c r="M83">
        <v>10</v>
      </c>
      <c r="N83">
        <v>0</v>
      </c>
      <c r="O83">
        <v>-140.13</v>
      </c>
      <c r="P83">
        <v>80.206999999999994</v>
      </c>
      <c r="Q83">
        <f>Table1_2[[#This Row],[Ship Date]]-Table1_2[[#This Row],[order date]]</f>
        <v>2</v>
      </c>
      <c r="R83" s="3">
        <f>Table1_2[[#This Row],[Profit]]/Table1_2[[#This Row],[Sales]]</f>
        <v>-0.17471043674492251</v>
      </c>
    </row>
    <row r="84" spans="1:18" x14ac:dyDescent="0.3">
      <c r="A84" t="s">
        <v>97</v>
      </c>
      <c r="B84" s="2">
        <v>44783</v>
      </c>
      <c r="C84" s="2">
        <v>44787</v>
      </c>
      <c r="D84" t="s">
        <v>1370</v>
      </c>
      <c r="E84" t="s">
        <v>1376</v>
      </c>
      <c r="F84" t="s">
        <v>1704</v>
      </c>
      <c r="G84" t="s">
        <v>1381</v>
      </c>
      <c r="H84" t="s">
        <v>1388</v>
      </c>
      <c r="I84" t="s">
        <v>1394</v>
      </c>
      <c r="J84" t="s">
        <v>1402</v>
      </c>
      <c r="K84" t="s">
        <v>1477</v>
      </c>
      <c r="L84">
        <v>950.6</v>
      </c>
      <c r="M84">
        <v>10</v>
      </c>
      <c r="N84">
        <v>0</v>
      </c>
      <c r="O84">
        <v>-58.33</v>
      </c>
      <c r="P84">
        <v>95.06</v>
      </c>
      <c r="Q84">
        <f>Table1_2[[#This Row],[Ship Date]]-Table1_2[[#This Row],[order date]]</f>
        <v>4</v>
      </c>
      <c r="R84" s="3">
        <f>Table1_2[[#This Row],[Profit]]/Table1_2[[#This Row],[Sales]]</f>
        <v>-6.1361245529139491E-2</v>
      </c>
    </row>
    <row r="85" spans="1:18" hidden="1" x14ac:dyDescent="0.3">
      <c r="A85" t="s">
        <v>98</v>
      </c>
      <c r="B85" s="2"/>
      <c r="C85" s="2">
        <v>44583</v>
      </c>
      <c r="D85" t="s">
        <v>1365</v>
      </c>
      <c r="E85" t="s">
        <v>1375</v>
      </c>
      <c r="F85" t="s">
        <v>1379</v>
      </c>
      <c r="G85" t="s">
        <v>1385</v>
      </c>
      <c r="H85" t="s">
        <v>1389</v>
      </c>
      <c r="I85" t="s">
        <v>1392</v>
      </c>
      <c r="J85" t="s">
        <v>1395</v>
      </c>
      <c r="K85" t="s">
        <v>1478</v>
      </c>
      <c r="L85">
        <v>402.05</v>
      </c>
      <c r="M85">
        <v>3</v>
      </c>
      <c r="N85">
        <v>0.15</v>
      </c>
      <c r="O85">
        <v>-69.88</v>
      </c>
      <c r="P85">
        <v>134.01669999999999</v>
      </c>
      <c r="Q85">
        <f>Table1_2[[#This Row],[Ship Date]]-Table1_2[[#This Row],[order date]]</f>
        <v>44583</v>
      </c>
      <c r="R85">
        <f>Table1_2[[#This Row],[Profit]]/Table1_2[[#This Row],[Sales]]</f>
        <v>-0.17380922770799651</v>
      </c>
    </row>
    <row r="86" spans="1:18" hidden="1" x14ac:dyDescent="0.3">
      <c r="A86" t="s">
        <v>99</v>
      </c>
      <c r="B86" s="2">
        <v>45078</v>
      </c>
      <c r="C86" s="2">
        <v>44941</v>
      </c>
      <c r="D86" t="s">
        <v>1360</v>
      </c>
      <c r="E86" t="s">
        <v>1376</v>
      </c>
      <c r="F86" t="s">
        <v>1379</v>
      </c>
      <c r="G86" t="s">
        <v>1381</v>
      </c>
      <c r="H86" t="s">
        <v>1389</v>
      </c>
      <c r="I86" t="s">
        <v>1393</v>
      </c>
      <c r="J86" t="s">
        <v>1400</v>
      </c>
      <c r="K86" t="s">
        <v>1479</v>
      </c>
      <c r="L86">
        <v>553.37</v>
      </c>
      <c r="M86">
        <v>4</v>
      </c>
      <c r="N86">
        <v>0</v>
      </c>
      <c r="O86">
        <v>-98.68</v>
      </c>
      <c r="P86">
        <v>138.3425</v>
      </c>
      <c r="Q86">
        <f>Table1_2[[#This Row],[Ship Date]]-Table1_2[[#This Row],[order date]]</f>
        <v>-137</v>
      </c>
      <c r="R86">
        <f>Table1_2[[#This Row],[Profit]]/Table1_2[[#This Row],[Sales]]</f>
        <v>-0.17832553264542711</v>
      </c>
    </row>
    <row r="87" spans="1:18" x14ac:dyDescent="0.3">
      <c r="A87" t="s">
        <v>100</v>
      </c>
      <c r="B87" s="2">
        <v>44998</v>
      </c>
      <c r="C87" s="2">
        <v>45000</v>
      </c>
      <c r="D87" t="s">
        <v>1369</v>
      </c>
      <c r="E87" t="s">
        <v>1376</v>
      </c>
      <c r="F87" t="s">
        <v>1379</v>
      </c>
      <c r="G87" t="s">
        <v>1385</v>
      </c>
      <c r="H87" t="s">
        <v>1391</v>
      </c>
      <c r="I87" t="s">
        <v>1394</v>
      </c>
      <c r="J87" t="s">
        <v>1398</v>
      </c>
      <c r="K87" t="s">
        <v>1480</v>
      </c>
      <c r="L87">
        <v>1093.45</v>
      </c>
      <c r="M87">
        <v>2</v>
      </c>
      <c r="N87">
        <v>0</v>
      </c>
      <c r="O87">
        <v>-42.58</v>
      </c>
      <c r="P87">
        <v>546.72500000000002</v>
      </c>
      <c r="Q87">
        <f>Table1_2[[#This Row],[Ship Date]]-Table1_2[[#This Row],[order date]]</f>
        <v>2</v>
      </c>
      <c r="R87" s="3">
        <f>Table1_2[[#This Row],[Profit]]/Table1_2[[#This Row],[Sales]]</f>
        <v>-3.8940966665142435E-2</v>
      </c>
    </row>
    <row r="88" spans="1:18" x14ac:dyDescent="0.3">
      <c r="A88" t="s">
        <v>101</v>
      </c>
      <c r="B88" s="2">
        <v>45079</v>
      </c>
      <c r="C88" s="2">
        <v>45089</v>
      </c>
      <c r="D88" t="s">
        <v>1373</v>
      </c>
      <c r="E88" t="s">
        <v>1375</v>
      </c>
      <c r="F88" t="s">
        <v>1704</v>
      </c>
      <c r="G88" t="s">
        <v>1384</v>
      </c>
      <c r="H88" t="s">
        <v>1389</v>
      </c>
      <c r="I88" t="s">
        <v>1394</v>
      </c>
      <c r="J88" t="s">
        <v>1402</v>
      </c>
      <c r="K88" t="s">
        <v>1481</v>
      </c>
      <c r="L88">
        <v>955.85</v>
      </c>
      <c r="M88">
        <v>2</v>
      </c>
      <c r="N88">
        <v>0</v>
      </c>
      <c r="O88">
        <v>153.34</v>
      </c>
      <c r="P88">
        <v>477.92500000000001</v>
      </c>
      <c r="Q88">
        <f>Table1_2[[#This Row],[Ship Date]]-Table1_2[[#This Row],[order date]]</f>
        <v>10</v>
      </c>
      <c r="R88" s="3">
        <f>Table1_2[[#This Row],[Profit]]/Table1_2[[#This Row],[Sales]]</f>
        <v>0.16042266045927708</v>
      </c>
    </row>
    <row r="89" spans="1:18" x14ac:dyDescent="0.3">
      <c r="A89" t="s">
        <v>102</v>
      </c>
      <c r="B89" s="2">
        <v>44960</v>
      </c>
      <c r="C89" s="2">
        <v>44989</v>
      </c>
      <c r="D89" t="s">
        <v>1367</v>
      </c>
      <c r="E89" t="s">
        <v>1375</v>
      </c>
      <c r="F89" t="s">
        <v>1379</v>
      </c>
      <c r="G89" t="s">
        <v>1381</v>
      </c>
      <c r="H89" t="s">
        <v>1389</v>
      </c>
      <c r="I89" t="s">
        <v>1394</v>
      </c>
      <c r="J89" t="s">
        <v>1403</v>
      </c>
      <c r="K89" t="s">
        <v>1482</v>
      </c>
      <c r="L89">
        <v>388.78</v>
      </c>
      <c r="M89">
        <v>5</v>
      </c>
      <c r="N89">
        <v>0.15</v>
      </c>
      <c r="O89">
        <v>107.61</v>
      </c>
      <c r="P89">
        <v>77.756</v>
      </c>
      <c r="Q89">
        <f>Table1_2[[#This Row],[Ship Date]]-Table1_2[[#This Row],[order date]]</f>
        <v>29</v>
      </c>
      <c r="R89" s="3">
        <f>Table1_2[[#This Row],[Profit]]/Table1_2[[#This Row],[Sales]]</f>
        <v>0.27678892947168066</v>
      </c>
    </row>
    <row r="90" spans="1:18" x14ac:dyDescent="0.3">
      <c r="A90" t="s">
        <v>103</v>
      </c>
      <c r="B90" s="2">
        <v>45324</v>
      </c>
      <c r="C90" s="2">
        <v>45330</v>
      </c>
      <c r="D90" t="s">
        <v>1373</v>
      </c>
      <c r="E90" t="s">
        <v>1374</v>
      </c>
      <c r="F90" t="s">
        <v>1704</v>
      </c>
      <c r="G90" t="s">
        <v>1386</v>
      </c>
      <c r="H90" t="s">
        <v>1388</v>
      </c>
      <c r="I90" t="s">
        <v>1392</v>
      </c>
      <c r="J90" t="s">
        <v>1395</v>
      </c>
      <c r="K90" t="s">
        <v>1455</v>
      </c>
      <c r="L90">
        <v>90.78</v>
      </c>
      <c r="M90">
        <v>9</v>
      </c>
      <c r="N90">
        <v>0</v>
      </c>
      <c r="O90">
        <v>-3.19</v>
      </c>
      <c r="P90">
        <v>10.0867</v>
      </c>
      <c r="Q90">
        <f>Table1_2[[#This Row],[Ship Date]]-Table1_2[[#This Row],[order date]]</f>
        <v>6</v>
      </c>
      <c r="R90" s="3">
        <f>Table1_2[[#This Row],[Profit]]/Table1_2[[#This Row],[Sales]]</f>
        <v>-3.5139898656091649E-2</v>
      </c>
    </row>
    <row r="91" spans="1:18" x14ac:dyDescent="0.3">
      <c r="A91" t="s">
        <v>104</v>
      </c>
      <c r="B91" s="2">
        <v>45176</v>
      </c>
      <c r="C91" s="2">
        <v>45181</v>
      </c>
      <c r="D91" t="s">
        <v>1366</v>
      </c>
      <c r="E91" t="s">
        <v>1374</v>
      </c>
      <c r="F91" t="s">
        <v>1379</v>
      </c>
      <c r="G91" t="s">
        <v>1381</v>
      </c>
      <c r="H91" t="s">
        <v>1391</v>
      </c>
      <c r="I91" t="s">
        <v>1394</v>
      </c>
      <c r="J91" t="s">
        <v>1402</v>
      </c>
      <c r="K91" t="s">
        <v>1483</v>
      </c>
      <c r="L91">
        <v>701.94</v>
      </c>
      <c r="M91">
        <v>4</v>
      </c>
      <c r="N91">
        <v>0.1</v>
      </c>
      <c r="O91">
        <v>90.11</v>
      </c>
      <c r="P91">
        <v>175.48500000000001</v>
      </c>
      <c r="Q91">
        <f>Table1_2[[#This Row],[Ship Date]]-Table1_2[[#This Row],[order date]]</f>
        <v>5</v>
      </c>
      <c r="R91" s="3">
        <f>Table1_2[[#This Row],[Profit]]/Table1_2[[#This Row],[Sales]]</f>
        <v>0.12837279539561786</v>
      </c>
    </row>
    <row r="92" spans="1:18" hidden="1" x14ac:dyDescent="0.3">
      <c r="A92" t="s">
        <v>105</v>
      </c>
      <c r="B92" s="2"/>
      <c r="C92" s="2">
        <v>44800</v>
      </c>
      <c r="D92" t="s">
        <v>1371</v>
      </c>
      <c r="E92" t="s">
        <v>1375</v>
      </c>
      <c r="F92" t="s">
        <v>1379</v>
      </c>
      <c r="G92" t="s">
        <v>1382</v>
      </c>
      <c r="H92" t="s">
        <v>1391</v>
      </c>
      <c r="I92" t="s">
        <v>1393</v>
      </c>
      <c r="J92" t="s">
        <v>1396</v>
      </c>
      <c r="K92" t="s">
        <v>1405</v>
      </c>
      <c r="L92">
        <v>744.02</v>
      </c>
      <c r="M92">
        <v>9</v>
      </c>
      <c r="N92">
        <v>0</v>
      </c>
      <c r="O92">
        <v>77.75</v>
      </c>
      <c r="P92">
        <v>82.668899999999994</v>
      </c>
      <c r="Q92">
        <f>Table1_2[[#This Row],[Ship Date]]-Table1_2[[#This Row],[order date]]</f>
        <v>44800</v>
      </c>
      <c r="R92">
        <f>Table1_2[[#This Row],[Profit]]/Table1_2[[#This Row],[Sales]]</f>
        <v>0.10449987903550981</v>
      </c>
    </row>
    <row r="93" spans="1:18" hidden="1" x14ac:dyDescent="0.3">
      <c r="A93" t="s">
        <v>106</v>
      </c>
      <c r="B93" s="2"/>
      <c r="C93" s="2">
        <v>44922</v>
      </c>
      <c r="D93" t="s">
        <v>1369</v>
      </c>
      <c r="E93" t="s">
        <v>1374</v>
      </c>
      <c r="F93" t="s">
        <v>1704</v>
      </c>
      <c r="G93" t="s">
        <v>1385</v>
      </c>
      <c r="H93" t="s">
        <v>1389</v>
      </c>
      <c r="I93" t="s">
        <v>1392</v>
      </c>
      <c r="J93" t="s">
        <v>1401</v>
      </c>
      <c r="K93" t="s">
        <v>1484</v>
      </c>
      <c r="L93">
        <v>688.26</v>
      </c>
      <c r="M93">
        <v>7</v>
      </c>
      <c r="N93">
        <v>0</v>
      </c>
      <c r="O93">
        <v>-88.83</v>
      </c>
      <c r="P93">
        <v>98.322900000000004</v>
      </c>
      <c r="Q93">
        <f>Table1_2[[#This Row],[Ship Date]]-Table1_2[[#This Row],[order date]]</f>
        <v>44922</v>
      </c>
      <c r="R93">
        <f>Table1_2[[#This Row],[Profit]]/Table1_2[[#This Row],[Sales]]</f>
        <v>-0.12906459768110889</v>
      </c>
    </row>
    <row r="94" spans="1:18" x14ac:dyDescent="0.3">
      <c r="A94" t="s">
        <v>107</v>
      </c>
      <c r="B94" s="2">
        <v>44911</v>
      </c>
      <c r="C94" s="2">
        <v>44914</v>
      </c>
      <c r="D94" t="s">
        <v>1363</v>
      </c>
      <c r="E94" t="s">
        <v>1374</v>
      </c>
      <c r="F94" t="s">
        <v>1379</v>
      </c>
      <c r="G94" t="s">
        <v>1382</v>
      </c>
      <c r="H94" t="s">
        <v>1388</v>
      </c>
      <c r="I94" t="s">
        <v>1394</v>
      </c>
      <c r="J94" t="s">
        <v>1403</v>
      </c>
      <c r="K94" t="s">
        <v>1450</v>
      </c>
      <c r="L94">
        <v>871.48</v>
      </c>
      <c r="M94">
        <v>10</v>
      </c>
      <c r="N94">
        <v>0</v>
      </c>
      <c r="O94">
        <v>-137.28</v>
      </c>
      <c r="P94">
        <v>87.147999999999996</v>
      </c>
      <c r="Q94">
        <f>Table1_2[[#This Row],[Ship Date]]-Table1_2[[#This Row],[order date]]</f>
        <v>3</v>
      </c>
      <c r="R94" s="3">
        <f>Table1_2[[#This Row],[Profit]]/Table1_2[[#This Row],[Sales]]</f>
        <v>-0.15752512966447882</v>
      </c>
    </row>
    <row r="95" spans="1:18" x14ac:dyDescent="0.3">
      <c r="A95" t="s">
        <v>108</v>
      </c>
      <c r="B95" s="2">
        <v>45015</v>
      </c>
      <c r="C95" s="2">
        <v>45022</v>
      </c>
      <c r="D95" t="s">
        <v>1372</v>
      </c>
      <c r="E95" t="s">
        <v>1375</v>
      </c>
      <c r="F95" t="s">
        <v>1379</v>
      </c>
      <c r="G95" t="s">
        <v>1382</v>
      </c>
      <c r="H95" t="s">
        <v>1389</v>
      </c>
      <c r="I95" t="s">
        <v>1394</v>
      </c>
      <c r="J95" t="s">
        <v>1398</v>
      </c>
      <c r="K95" t="s">
        <v>1485</v>
      </c>
      <c r="L95">
        <v>541.61</v>
      </c>
      <c r="M95">
        <v>5</v>
      </c>
      <c r="N95">
        <v>0.1</v>
      </c>
      <c r="O95">
        <v>96.12</v>
      </c>
      <c r="P95">
        <v>108.322</v>
      </c>
      <c r="Q95">
        <f>Table1_2[[#This Row],[Ship Date]]-Table1_2[[#This Row],[order date]]</f>
        <v>7</v>
      </c>
      <c r="R95" s="3">
        <f>Table1_2[[#This Row],[Profit]]/Table1_2[[#This Row],[Sales]]</f>
        <v>0.17747087387603627</v>
      </c>
    </row>
    <row r="96" spans="1:18" x14ac:dyDescent="0.3">
      <c r="A96" t="s">
        <v>109</v>
      </c>
      <c r="B96" s="2">
        <v>45245</v>
      </c>
      <c r="C96" s="2">
        <v>45250</v>
      </c>
      <c r="D96" t="s">
        <v>1363</v>
      </c>
      <c r="E96" t="s">
        <v>1376</v>
      </c>
      <c r="F96" t="s">
        <v>1379</v>
      </c>
      <c r="G96" t="s">
        <v>1384</v>
      </c>
      <c r="H96" t="s">
        <v>1388</v>
      </c>
      <c r="I96" t="s">
        <v>1392</v>
      </c>
      <c r="J96" t="s">
        <v>1401</v>
      </c>
      <c r="K96" t="s">
        <v>1486</v>
      </c>
      <c r="L96">
        <v>486.41</v>
      </c>
      <c r="M96">
        <v>10</v>
      </c>
      <c r="N96">
        <v>0</v>
      </c>
      <c r="O96">
        <v>-95.41</v>
      </c>
      <c r="P96">
        <v>48.640999999999998</v>
      </c>
      <c r="Q96">
        <f>Table1_2[[#This Row],[Ship Date]]-Table1_2[[#This Row],[order date]]</f>
        <v>5</v>
      </c>
      <c r="R96" s="3">
        <f>Table1_2[[#This Row],[Profit]]/Table1_2[[#This Row],[Sales]]</f>
        <v>-0.19615139491375586</v>
      </c>
    </row>
    <row r="97" spans="1:18" hidden="1" x14ac:dyDescent="0.3">
      <c r="A97" t="s">
        <v>110</v>
      </c>
      <c r="B97" s="2"/>
      <c r="C97" s="2">
        <v>45078</v>
      </c>
      <c r="D97" t="s">
        <v>1371</v>
      </c>
      <c r="E97" t="s">
        <v>1376</v>
      </c>
      <c r="F97" t="s">
        <v>1379</v>
      </c>
      <c r="G97" t="s">
        <v>1385</v>
      </c>
      <c r="H97" t="s">
        <v>1388</v>
      </c>
      <c r="I97" t="s">
        <v>1392</v>
      </c>
      <c r="J97" t="s">
        <v>1401</v>
      </c>
      <c r="K97" t="s">
        <v>1484</v>
      </c>
      <c r="L97">
        <v>468.64</v>
      </c>
      <c r="M97">
        <v>4</v>
      </c>
      <c r="N97">
        <v>0</v>
      </c>
      <c r="O97">
        <v>37.19</v>
      </c>
      <c r="P97">
        <v>117.16</v>
      </c>
      <c r="Q97">
        <f>Table1_2[[#This Row],[Ship Date]]-Table1_2[[#This Row],[order date]]</f>
        <v>45078</v>
      </c>
      <c r="R97">
        <f>Table1_2[[#This Row],[Profit]]/Table1_2[[#This Row],[Sales]]</f>
        <v>7.9357289177193577E-2</v>
      </c>
    </row>
    <row r="98" spans="1:18" x14ac:dyDescent="0.3">
      <c r="A98" t="s">
        <v>111</v>
      </c>
      <c r="B98" s="2">
        <v>44641</v>
      </c>
      <c r="C98" s="2">
        <v>44647</v>
      </c>
      <c r="D98" t="s">
        <v>1371</v>
      </c>
      <c r="E98" t="s">
        <v>1374</v>
      </c>
      <c r="F98" t="s">
        <v>1704</v>
      </c>
      <c r="G98" t="s">
        <v>1386</v>
      </c>
      <c r="H98" t="s">
        <v>1391</v>
      </c>
      <c r="I98" t="s">
        <v>1393</v>
      </c>
      <c r="J98" t="s">
        <v>1399</v>
      </c>
      <c r="K98" t="s">
        <v>1487</v>
      </c>
      <c r="L98">
        <v>696.61</v>
      </c>
      <c r="M98">
        <v>7</v>
      </c>
      <c r="N98">
        <v>0.15</v>
      </c>
      <c r="O98">
        <v>-99.21</v>
      </c>
      <c r="P98">
        <v>99.515699999999995</v>
      </c>
      <c r="Q98">
        <f>Table1_2[[#This Row],[Ship Date]]-Table1_2[[#This Row],[order date]]</f>
        <v>6</v>
      </c>
      <c r="R98" s="3">
        <f>Table1_2[[#This Row],[Profit]]/Table1_2[[#This Row],[Sales]]</f>
        <v>-0.1424182828268328</v>
      </c>
    </row>
    <row r="99" spans="1:18" x14ac:dyDescent="0.3">
      <c r="A99" t="s">
        <v>112</v>
      </c>
      <c r="B99" s="2">
        <v>45009</v>
      </c>
      <c r="C99" s="2">
        <v>45011</v>
      </c>
      <c r="D99" t="s">
        <v>1371</v>
      </c>
      <c r="E99" t="s">
        <v>1376</v>
      </c>
      <c r="F99" t="s">
        <v>1704</v>
      </c>
      <c r="G99" t="s">
        <v>1381</v>
      </c>
      <c r="H99" t="s">
        <v>1388</v>
      </c>
      <c r="I99" t="s">
        <v>1392</v>
      </c>
      <c r="J99" t="s">
        <v>1397</v>
      </c>
      <c r="K99" t="s">
        <v>1488</v>
      </c>
      <c r="L99">
        <v>714.87</v>
      </c>
      <c r="M99">
        <v>9</v>
      </c>
      <c r="N99">
        <v>0</v>
      </c>
      <c r="O99">
        <v>-1.51</v>
      </c>
      <c r="P99">
        <v>79.430000000000007</v>
      </c>
      <c r="Q99">
        <f>Table1_2[[#This Row],[Ship Date]]-Table1_2[[#This Row],[order date]]</f>
        <v>2</v>
      </c>
      <c r="R99" s="3">
        <f>Table1_2[[#This Row],[Profit]]/Table1_2[[#This Row],[Sales]]</f>
        <v>-2.1122721613719979E-3</v>
      </c>
    </row>
    <row r="100" spans="1:18" x14ac:dyDescent="0.3">
      <c r="A100" t="s">
        <v>113</v>
      </c>
      <c r="B100" s="2">
        <v>45084</v>
      </c>
      <c r="C100" s="2">
        <v>45088</v>
      </c>
      <c r="D100" t="s">
        <v>1363</v>
      </c>
      <c r="E100" t="s">
        <v>1374</v>
      </c>
      <c r="F100" t="s">
        <v>1704</v>
      </c>
      <c r="G100" t="s">
        <v>1386</v>
      </c>
      <c r="H100" t="s">
        <v>1388</v>
      </c>
      <c r="I100" t="s">
        <v>1394</v>
      </c>
      <c r="J100" t="s">
        <v>1403</v>
      </c>
      <c r="K100" t="s">
        <v>1489</v>
      </c>
      <c r="L100">
        <v>878.31</v>
      </c>
      <c r="M100">
        <v>3</v>
      </c>
      <c r="N100">
        <v>0.1</v>
      </c>
      <c r="O100">
        <v>-130.51</v>
      </c>
      <c r="P100">
        <v>292.77</v>
      </c>
      <c r="Q100">
        <f>Table1_2[[#This Row],[Ship Date]]-Table1_2[[#This Row],[order date]]</f>
        <v>4</v>
      </c>
      <c r="R100" s="3">
        <f>Table1_2[[#This Row],[Profit]]/Table1_2[[#This Row],[Sales]]</f>
        <v>-0.14859218271453131</v>
      </c>
    </row>
    <row r="101" spans="1:18" x14ac:dyDescent="0.3">
      <c r="A101" t="s">
        <v>114</v>
      </c>
      <c r="B101" s="2">
        <v>45325</v>
      </c>
      <c r="C101" s="2">
        <v>45361</v>
      </c>
      <c r="D101" t="s">
        <v>1362</v>
      </c>
      <c r="E101" t="s">
        <v>1376</v>
      </c>
      <c r="F101" t="s">
        <v>1704</v>
      </c>
      <c r="G101" t="s">
        <v>1385</v>
      </c>
      <c r="H101" t="s">
        <v>1388</v>
      </c>
      <c r="I101" t="s">
        <v>1394</v>
      </c>
      <c r="J101" t="s">
        <v>1398</v>
      </c>
      <c r="K101" t="s">
        <v>1490</v>
      </c>
      <c r="L101">
        <v>916.66</v>
      </c>
      <c r="M101">
        <v>8</v>
      </c>
      <c r="N101">
        <v>0</v>
      </c>
      <c r="O101">
        <v>111.37</v>
      </c>
      <c r="P101">
        <v>114.5825</v>
      </c>
      <c r="Q101">
        <f>Table1_2[[#This Row],[Ship Date]]-Table1_2[[#This Row],[order date]]</f>
        <v>36</v>
      </c>
      <c r="R101" s="3">
        <f>Table1_2[[#This Row],[Profit]]/Table1_2[[#This Row],[Sales]]</f>
        <v>0.12149542905766589</v>
      </c>
    </row>
    <row r="102" spans="1:18" x14ac:dyDescent="0.3">
      <c r="A102" t="s">
        <v>115</v>
      </c>
      <c r="B102" s="2">
        <v>45014</v>
      </c>
      <c r="C102" s="2">
        <v>45019</v>
      </c>
      <c r="D102" t="s">
        <v>1369</v>
      </c>
      <c r="E102" t="s">
        <v>1376</v>
      </c>
      <c r="F102" t="s">
        <v>1379</v>
      </c>
      <c r="G102" t="s">
        <v>1381</v>
      </c>
      <c r="H102" t="s">
        <v>1388</v>
      </c>
      <c r="I102" t="s">
        <v>1394</v>
      </c>
      <c r="J102" t="s">
        <v>1398</v>
      </c>
      <c r="K102" t="s">
        <v>1491</v>
      </c>
      <c r="L102">
        <v>86.28</v>
      </c>
      <c r="M102">
        <v>9</v>
      </c>
      <c r="N102">
        <v>0</v>
      </c>
      <c r="O102">
        <v>-3.87</v>
      </c>
      <c r="P102">
        <v>9.5867000000000004</v>
      </c>
      <c r="Q102">
        <f>Table1_2[[#This Row],[Ship Date]]-Table1_2[[#This Row],[order date]]</f>
        <v>5</v>
      </c>
      <c r="R102" s="3">
        <f>Table1_2[[#This Row],[Profit]]/Table1_2[[#This Row],[Sales]]</f>
        <v>-4.4853963838664815E-2</v>
      </c>
    </row>
    <row r="103" spans="1:18" x14ac:dyDescent="0.3">
      <c r="A103" t="s">
        <v>116</v>
      </c>
      <c r="B103" s="2">
        <v>44935</v>
      </c>
      <c r="C103" s="2">
        <v>45179</v>
      </c>
      <c r="D103" t="s">
        <v>1368</v>
      </c>
      <c r="E103" t="s">
        <v>1374</v>
      </c>
      <c r="F103" t="s">
        <v>1704</v>
      </c>
      <c r="G103" t="s">
        <v>1383</v>
      </c>
      <c r="H103" t="s">
        <v>1390</v>
      </c>
      <c r="I103" t="s">
        <v>1394</v>
      </c>
      <c r="J103" t="s">
        <v>1403</v>
      </c>
      <c r="K103" t="s">
        <v>1421</v>
      </c>
      <c r="L103">
        <v>704.79</v>
      </c>
      <c r="M103">
        <v>1</v>
      </c>
      <c r="N103">
        <v>0.2</v>
      </c>
      <c r="O103">
        <v>179.39</v>
      </c>
      <c r="P103">
        <v>704.79</v>
      </c>
      <c r="Q103">
        <f>Table1_2[[#This Row],[Ship Date]]-Table1_2[[#This Row],[order date]]</f>
        <v>244</v>
      </c>
      <c r="R103" s="3">
        <f>Table1_2[[#This Row],[Profit]]/Table1_2[[#This Row],[Sales]]</f>
        <v>0.25452971807204983</v>
      </c>
    </row>
    <row r="104" spans="1:18" x14ac:dyDescent="0.3">
      <c r="A104" t="s">
        <v>117</v>
      </c>
      <c r="B104" s="2">
        <v>45023</v>
      </c>
      <c r="C104" s="2">
        <v>45025</v>
      </c>
      <c r="D104" t="s">
        <v>1365</v>
      </c>
      <c r="E104" t="s">
        <v>1374</v>
      </c>
      <c r="F104" t="s">
        <v>1704</v>
      </c>
      <c r="G104" t="s">
        <v>1384</v>
      </c>
      <c r="H104" t="s">
        <v>1391</v>
      </c>
      <c r="I104" t="s">
        <v>1394</v>
      </c>
      <c r="J104" t="s">
        <v>1398</v>
      </c>
      <c r="K104" t="s">
        <v>1492</v>
      </c>
      <c r="L104">
        <v>119.51</v>
      </c>
      <c r="M104">
        <v>3</v>
      </c>
      <c r="N104">
        <v>0</v>
      </c>
      <c r="O104">
        <v>-9.1</v>
      </c>
      <c r="P104">
        <v>39.8367</v>
      </c>
      <c r="Q104">
        <f>Table1_2[[#This Row],[Ship Date]]-Table1_2[[#This Row],[order date]]</f>
        <v>2</v>
      </c>
      <c r="R104" s="3">
        <f>Table1_2[[#This Row],[Profit]]/Table1_2[[#This Row],[Sales]]</f>
        <v>-7.6144255710819175E-2</v>
      </c>
    </row>
    <row r="105" spans="1:18" x14ac:dyDescent="0.3">
      <c r="A105" t="s">
        <v>118</v>
      </c>
      <c r="B105" s="2">
        <v>44928</v>
      </c>
      <c r="C105" s="2">
        <v>44965</v>
      </c>
      <c r="D105" t="s">
        <v>1373</v>
      </c>
      <c r="E105" t="s">
        <v>1376</v>
      </c>
      <c r="F105" t="s">
        <v>1704</v>
      </c>
      <c r="G105" t="s">
        <v>1384</v>
      </c>
      <c r="H105" t="s">
        <v>1388</v>
      </c>
      <c r="I105" t="s">
        <v>1394</v>
      </c>
      <c r="J105" t="s">
        <v>1398</v>
      </c>
      <c r="K105" t="s">
        <v>1493</v>
      </c>
      <c r="L105">
        <v>725.51</v>
      </c>
      <c r="M105">
        <v>6</v>
      </c>
      <c r="N105">
        <v>0</v>
      </c>
      <c r="O105">
        <v>-25.51</v>
      </c>
      <c r="P105">
        <v>120.9183</v>
      </c>
      <c r="Q105">
        <f>Table1_2[[#This Row],[Ship Date]]-Table1_2[[#This Row],[order date]]</f>
        <v>37</v>
      </c>
      <c r="R105" s="3">
        <f>Table1_2[[#This Row],[Profit]]/Table1_2[[#This Row],[Sales]]</f>
        <v>-3.5161472619260933E-2</v>
      </c>
    </row>
    <row r="106" spans="1:18" x14ac:dyDescent="0.3">
      <c r="A106" t="s">
        <v>119</v>
      </c>
      <c r="B106" s="2">
        <v>45241</v>
      </c>
      <c r="C106" s="2">
        <v>45244</v>
      </c>
      <c r="D106" t="s">
        <v>1362</v>
      </c>
      <c r="E106" t="s">
        <v>1376</v>
      </c>
      <c r="F106" t="s">
        <v>1379</v>
      </c>
      <c r="G106" t="s">
        <v>1386</v>
      </c>
      <c r="H106" t="s">
        <v>1390</v>
      </c>
      <c r="I106" t="s">
        <v>1394</v>
      </c>
      <c r="J106" t="s">
        <v>1403</v>
      </c>
      <c r="K106" t="s">
        <v>1494</v>
      </c>
      <c r="L106">
        <v>1161.8800000000001</v>
      </c>
      <c r="M106">
        <v>7</v>
      </c>
      <c r="N106">
        <v>0.1</v>
      </c>
      <c r="O106">
        <v>113.31</v>
      </c>
      <c r="P106">
        <v>165.9829</v>
      </c>
      <c r="Q106">
        <f>Table1_2[[#This Row],[Ship Date]]-Table1_2[[#This Row],[order date]]</f>
        <v>3</v>
      </c>
      <c r="R106" s="3">
        <f>Table1_2[[#This Row],[Profit]]/Table1_2[[#This Row],[Sales]]</f>
        <v>9.752297999793437E-2</v>
      </c>
    </row>
    <row r="107" spans="1:18" x14ac:dyDescent="0.3">
      <c r="A107" t="s">
        <v>120</v>
      </c>
      <c r="B107" s="2">
        <v>45281</v>
      </c>
      <c r="C107" s="2">
        <v>45290</v>
      </c>
      <c r="D107" t="s">
        <v>1363</v>
      </c>
      <c r="E107" t="s">
        <v>1376</v>
      </c>
      <c r="F107" t="s">
        <v>1704</v>
      </c>
      <c r="G107" t="s">
        <v>1387</v>
      </c>
      <c r="H107" t="s">
        <v>1390</v>
      </c>
      <c r="I107" t="s">
        <v>1392</v>
      </c>
      <c r="J107" t="s">
        <v>1395</v>
      </c>
      <c r="K107" t="s">
        <v>1495</v>
      </c>
      <c r="L107">
        <v>811.14</v>
      </c>
      <c r="M107">
        <v>9</v>
      </c>
      <c r="N107">
        <v>0.15</v>
      </c>
      <c r="O107">
        <v>-154.83000000000001</v>
      </c>
      <c r="P107">
        <v>90.1267</v>
      </c>
      <c r="Q107">
        <f>Table1_2[[#This Row],[Ship Date]]-Table1_2[[#This Row],[order date]]</f>
        <v>9</v>
      </c>
      <c r="R107" s="3">
        <f>Table1_2[[#This Row],[Profit]]/Table1_2[[#This Row],[Sales]]</f>
        <v>-0.19087950292181377</v>
      </c>
    </row>
    <row r="108" spans="1:18" x14ac:dyDescent="0.3">
      <c r="A108" t="s">
        <v>121</v>
      </c>
      <c r="B108" s="2">
        <v>44720</v>
      </c>
      <c r="C108" s="2">
        <v>44722</v>
      </c>
      <c r="D108" t="s">
        <v>1359</v>
      </c>
      <c r="E108" t="s">
        <v>1374</v>
      </c>
      <c r="F108" t="s">
        <v>1704</v>
      </c>
      <c r="G108" t="s">
        <v>1387</v>
      </c>
      <c r="H108" t="s">
        <v>1390</v>
      </c>
      <c r="I108" t="s">
        <v>1394</v>
      </c>
      <c r="J108" t="s">
        <v>1402</v>
      </c>
      <c r="K108" t="s">
        <v>1428</v>
      </c>
      <c r="L108">
        <v>619.07000000000005</v>
      </c>
      <c r="M108">
        <v>9</v>
      </c>
      <c r="N108">
        <v>0</v>
      </c>
      <c r="O108">
        <v>-112.13</v>
      </c>
      <c r="P108">
        <v>68.785600000000002</v>
      </c>
      <c r="Q108">
        <f>Table1_2[[#This Row],[Ship Date]]-Table1_2[[#This Row],[order date]]</f>
        <v>2</v>
      </c>
      <c r="R108" s="3">
        <f>Table1_2[[#This Row],[Profit]]/Table1_2[[#This Row],[Sales]]</f>
        <v>-0.18112652850243105</v>
      </c>
    </row>
    <row r="109" spans="1:18" x14ac:dyDescent="0.3">
      <c r="A109" t="s">
        <v>122</v>
      </c>
      <c r="B109" s="2">
        <v>45413</v>
      </c>
      <c r="C109" s="2">
        <v>45423</v>
      </c>
      <c r="D109" t="s">
        <v>1365</v>
      </c>
      <c r="E109" t="s">
        <v>1376</v>
      </c>
      <c r="F109" t="s">
        <v>1704</v>
      </c>
      <c r="G109" t="s">
        <v>1387</v>
      </c>
      <c r="H109" t="s">
        <v>1390</v>
      </c>
      <c r="I109" t="s">
        <v>1392</v>
      </c>
      <c r="J109" t="s">
        <v>1395</v>
      </c>
      <c r="K109" t="s">
        <v>1496</v>
      </c>
      <c r="L109">
        <v>536.45000000000005</v>
      </c>
      <c r="M109">
        <v>7</v>
      </c>
      <c r="N109">
        <v>0.15</v>
      </c>
      <c r="O109">
        <v>74.13</v>
      </c>
      <c r="P109">
        <v>76.6357</v>
      </c>
      <c r="Q109">
        <f>Table1_2[[#This Row],[Ship Date]]-Table1_2[[#This Row],[order date]]</f>
        <v>10</v>
      </c>
      <c r="R109" s="3">
        <f>Table1_2[[#This Row],[Profit]]/Table1_2[[#This Row],[Sales]]</f>
        <v>0.1381862242520272</v>
      </c>
    </row>
    <row r="110" spans="1:18" x14ac:dyDescent="0.3">
      <c r="A110" t="s">
        <v>123</v>
      </c>
      <c r="B110" s="2">
        <v>45390</v>
      </c>
      <c r="C110" s="2">
        <v>45398</v>
      </c>
      <c r="D110" t="s">
        <v>1365</v>
      </c>
      <c r="E110" t="s">
        <v>1374</v>
      </c>
      <c r="F110" t="s">
        <v>1704</v>
      </c>
      <c r="G110" t="s">
        <v>1387</v>
      </c>
      <c r="H110" t="s">
        <v>1390</v>
      </c>
      <c r="I110" t="s">
        <v>1392</v>
      </c>
      <c r="J110" t="s">
        <v>1397</v>
      </c>
      <c r="K110" t="s">
        <v>1497</v>
      </c>
      <c r="L110">
        <v>820.4</v>
      </c>
      <c r="M110">
        <v>10</v>
      </c>
      <c r="N110">
        <v>0.2</v>
      </c>
      <c r="O110">
        <v>25.3</v>
      </c>
      <c r="P110">
        <v>82.04</v>
      </c>
      <c r="Q110">
        <f>Table1_2[[#This Row],[Ship Date]]-Table1_2[[#This Row],[order date]]</f>
        <v>8</v>
      </c>
      <c r="R110" s="3">
        <f>Table1_2[[#This Row],[Profit]]/Table1_2[[#This Row],[Sales]]</f>
        <v>3.0838615309605074E-2</v>
      </c>
    </row>
    <row r="111" spans="1:18" hidden="1" x14ac:dyDescent="0.3">
      <c r="A111" t="s">
        <v>124</v>
      </c>
      <c r="B111" s="2"/>
      <c r="C111" s="2">
        <v>44708</v>
      </c>
      <c r="D111" t="s">
        <v>1359</v>
      </c>
      <c r="E111" t="s">
        <v>1376</v>
      </c>
      <c r="F111" t="s">
        <v>1379</v>
      </c>
      <c r="G111" t="s">
        <v>1386</v>
      </c>
      <c r="H111" t="s">
        <v>1390</v>
      </c>
      <c r="I111" t="s">
        <v>1392</v>
      </c>
      <c r="J111" t="s">
        <v>1395</v>
      </c>
      <c r="K111" t="s">
        <v>1475</v>
      </c>
      <c r="L111">
        <v>587.1</v>
      </c>
      <c r="M111">
        <v>6</v>
      </c>
      <c r="N111">
        <v>0</v>
      </c>
      <c r="O111">
        <v>156.84</v>
      </c>
      <c r="P111">
        <v>97.85</v>
      </c>
      <c r="Q111">
        <f>Table1_2[[#This Row],[Ship Date]]-Table1_2[[#This Row],[order date]]</f>
        <v>44708</v>
      </c>
      <c r="R111">
        <f>Table1_2[[#This Row],[Profit]]/Table1_2[[#This Row],[Sales]]</f>
        <v>0.26714358712314767</v>
      </c>
    </row>
    <row r="112" spans="1:18" x14ac:dyDescent="0.3">
      <c r="A112" t="s">
        <v>125</v>
      </c>
      <c r="B112" s="2">
        <v>45022</v>
      </c>
      <c r="C112" s="2">
        <v>45031</v>
      </c>
      <c r="D112" t="s">
        <v>1367</v>
      </c>
      <c r="E112" t="s">
        <v>1376</v>
      </c>
      <c r="F112" t="s">
        <v>1379</v>
      </c>
      <c r="G112" t="s">
        <v>1387</v>
      </c>
      <c r="H112" t="s">
        <v>1389</v>
      </c>
      <c r="I112" t="s">
        <v>1392</v>
      </c>
      <c r="J112" t="s">
        <v>1397</v>
      </c>
      <c r="K112" t="s">
        <v>1498</v>
      </c>
      <c r="L112">
        <v>128.22</v>
      </c>
      <c r="M112">
        <v>4</v>
      </c>
      <c r="N112">
        <v>0.2</v>
      </c>
      <c r="O112">
        <v>31.07</v>
      </c>
      <c r="P112">
        <v>32.055</v>
      </c>
      <c r="Q112">
        <f>Table1_2[[#This Row],[Ship Date]]-Table1_2[[#This Row],[order date]]</f>
        <v>9</v>
      </c>
      <c r="R112" s="3">
        <f>Table1_2[[#This Row],[Profit]]/Table1_2[[#This Row],[Sales]]</f>
        <v>0.24231789112462954</v>
      </c>
    </row>
    <row r="113" spans="1:18" x14ac:dyDescent="0.3">
      <c r="A113" t="s">
        <v>126</v>
      </c>
      <c r="B113" s="2">
        <v>44945</v>
      </c>
      <c r="C113" s="2">
        <v>44949</v>
      </c>
      <c r="D113" t="s">
        <v>1365</v>
      </c>
      <c r="E113" t="s">
        <v>1375</v>
      </c>
      <c r="F113" t="s">
        <v>1704</v>
      </c>
      <c r="G113" t="s">
        <v>1385</v>
      </c>
      <c r="H113" t="s">
        <v>1388</v>
      </c>
      <c r="I113" t="s">
        <v>1392</v>
      </c>
      <c r="J113" t="s">
        <v>1397</v>
      </c>
      <c r="K113" t="s">
        <v>1498</v>
      </c>
      <c r="L113">
        <v>1118.3699999999999</v>
      </c>
      <c r="M113">
        <v>6</v>
      </c>
      <c r="N113">
        <v>0.1</v>
      </c>
      <c r="O113">
        <v>-146.72999999999999</v>
      </c>
      <c r="P113">
        <v>186.39500000000001</v>
      </c>
      <c r="Q113">
        <f>Table1_2[[#This Row],[Ship Date]]-Table1_2[[#This Row],[order date]]</f>
        <v>4</v>
      </c>
      <c r="R113" s="3">
        <f>Table1_2[[#This Row],[Profit]]/Table1_2[[#This Row],[Sales]]</f>
        <v>-0.13119987124118138</v>
      </c>
    </row>
    <row r="114" spans="1:18" x14ac:dyDescent="0.3">
      <c r="A114" t="s">
        <v>127</v>
      </c>
      <c r="B114" s="2">
        <v>44581</v>
      </c>
      <c r="C114" s="2">
        <v>44586</v>
      </c>
      <c r="D114" t="s">
        <v>1368</v>
      </c>
      <c r="E114" t="s">
        <v>1375</v>
      </c>
      <c r="F114" t="s">
        <v>1379</v>
      </c>
      <c r="G114" t="s">
        <v>1387</v>
      </c>
      <c r="H114" t="s">
        <v>1389</v>
      </c>
      <c r="I114" t="s">
        <v>1392</v>
      </c>
      <c r="J114" t="s">
        <v>1401</v>
      </c>
      <c r="K114" t="s">
        <v>1499</v>
      </c>
      <c r="L114">
        <v>667.59</v>
      </c>
      <c r="M114">
        <v>10</v>
      </c>
      <c r="N114">
        <v>0</v>
      </c>
      <c r="O114">
        <v>7.76</v>
      </c>
      <c r="P114">
        <v>66.759</v>
      </c>
      <c r="Q114">
        <f>Table1_2[[#This Row],[Ship Date]]-Table1_2[[#This Row],[order date]]</f>
        <v>5</v>
      </c>
      <c r="R114" s="3">
        <f>Table1_2[[#This Row],[Profit]]/Table1_2[[#This Row],[Sales]]</f>
        <v>1.1623900897257297E-2</v>
      </c>
    </row>
    <row r="115" spans="1:18" hidden="1" x14ac:dyDescent="0.3">
      <c r="A115" t="s">
        <v>128</v>
      </c>
      <c r="B115" s="2"/>
      <c r="C115" s="2">
        <v>45384</v>
      </c>
      <c r="D115" t="s">
        <v>1364</v>
      </c>
      <c r="E115" t="s">
        <v>1375</v>
      </c>
      <c r="F115" t="s">
        <v>1704</v>
      </c>
      <c r="G115" t="s">
        <v>1384</v>
      </c>
      <c r="H115" t="s">
        <v>1389</v>
      </c>
      <c r="I115" t="s">
        <v>1394</v>
      </c>
      <c r="J115" t="s">
        <v>1402</v>
      </c>
      <c r="K115" t="s">
        <v>1500</v>
      </c>
      <c r="L115">
        <v>150.81</v>
      </c>
      <c r="M115">
        <v>8</v>
      </c>
      <c r="N115">
        <v>0</v>
      </c>
      <c r="O115">
        <v>10.26</v>
      </c>
      <c r="P115">
        <v>18.851299999999998</v>
      </c>
      <c r="Q115">
        <f>Table1_2[[#This Row],[Ship Date]]-Table1_2[[#This Row],[order date]]</f>
        <v>45384</v>
      </c>
      <c r="R115">
        <f>Table1_2[[#This Row],[Profit]]/Table1_2[[#This Row],[Sales]]</f>
        <v>6.8032623831310923E-2</v>
      </c>
    </row>
    <row r="116" spans="1:18" x14ac:dyDescent="0.3">
      <c r="A116" t="s">
        <v>129</v>
      </c>
      <c r="B116" s="2">
        <v>45191</v>
      </c>
      <c r="C116" s="2">
        <v>45197</v>
      </c>
      <c r="D116" t="s">
        <v>1364</v>
      </c>
      <c r="E116" t="s">
        <v>1374</v>
      </c>
      <c r="F116" t="s">
        <v>1379</v>
      </c>
      <c r="G116" t="s">
        <v>1385</v>
      </c>
      <c r="H116" t="s">
        <v>1389</v>
      </c>
      <c r="I116" t="s">
        <v>1392</v>
      </c>
      <c r="J116" t="s">
        <v>1395</v>
      </c>
      <c r="K116" t="s">
        <v>1501</v>
      </c>
      <c r="L116">
        <v>511.55</v>
      </c>
      <c r="M116">
        <v>2</v>
      </c>
      <c r="N116">
        <v>0</v>
      </c>
      <c r="O116">
        <v>146.97999999999999</v>
      </c>
      <c r="P116">
        <v>255.77500000000001</v>
      </c>
      <c r="Q116">
        <f>Table1_2[[#This Row],[Ship Date]]-Table1_2[[#This Row],[order date]]</f>
        <v>6</v>
      </c>
      <c r="R116" s="3">
        <f>Table1_2[[#This Row],[Profit]]/Table1_2[[#This Row],[Sales]]</f>
        <v>0.28732284234190203</v>
      </c>
    </row>
    <row r="117" spans="1:18" hidden="1" x14ac:dyDescent="0.3">
      <c r="A117" t="s">
        <v>130</v>
      </c>
      <c r="B117" s="2"/>
      <c r="C117" s="2">
        <v>45219</v>
      </c>
      <c r="D117" t="s">
        <v>1361</v>
      </c>
      <c r="E117" t="s">
        <v>1374</v>
      </c>
      <c r="F117" t="s">
        <v>1379</v>
      </c>
      <c r="G117" t="s">
        <v>1387</v>
      </c>
      <c r="H117" t="s">
        <v>1388</v>
      </c>
      <c r="I117" t="s">
        <v>1394</v>
      </c>
      <c r="J117" t="s">
        <v>1403</v>
      </c>
      <c r="K117" t="s">
        <v>1502</v>
      </c>
      <c r="L117">
        <v>901.83</v>
      </c>
      <c r="M117">
        <v>6</v>
      </c>
      <c r="N117">
        <v>0</v>
      </c>
      <c r="O117">
        <v>-24.89</v>
      </c>
      <c r="P117">
        <v>150.30500000000001</v>
      </c>
      <c r="Q117">
        <f>Table1_2[[#This Row],[Ship Date]]-Table1_2[[#This Row],[order date]]</f>
        <v>45219</v>
      </c>
      <c r="R117">
        <f>Table1_2[[#This Row],[Profit]]/Table1_2[[#This Row],[Sales]]</f>
        <v>-2.7599436700930329E-2</v>
      </c>
    </row>
    <row r="118" spans="1:18" x14ac:dyDescent="0.3">
      <c r="A118" t="s">
        <v>131</v>
      </c>
      <c r="B118" s="2">
        <v>45121</v>
      </c>
      <c r="C118" s="2">
        <v>45127</v>
      </c>
      <c r="D118" t="s">
        <v>1361</v>
      </c>
      <c r="E118" t="s">
        <v>1376</v>
      </c>
      <c r="F118" t="s">
        <v>1379</v>
      </c>
      <c r="G118" t="s">
        <v>1384</v>
      </c>
      <c r="H118" t="s">
        <v>1390</v>
      </c>
      <c r="I118" t="s">
        <v>1393</v>
      </c>
      <c r="J118" t="s">
        <v>1400</v>
      </c>
      <c r="K118" t="s">
        <v>1503</v>
      </c>
      <c r="L118">
        <v>999.85</v>
      </c>
      <c r="M118">
        <v>8</v>
      </c>
      <c r="N118">
        <v>0.2</v>
      </c>
      <c r="O118">
        <v>115.85</v>
      </c>
      <c r="P118">
        <v>124.9813</v>
      </c>
      <c r="Q118">
        <f>Table1_2[[#This Row],[Ship Date]]-Table1_2[[#This Row],[order date]]</f>
        <v>6</v>
      </c>
      <c r="R118" s="3">
        <f>Table1_2[[#This Row],[Profit]]/Table1_2[[#This Row],[Sales]]</f>
        <v>0.11586738010701604</v>
      </c>
    </row>
    <row r="119" spans="1:18" hidden="1" x14ac:dyDescent="0.3">
      <c r="A119" t="s">
        <v>132</v>
      </c>
      <c r="B119" s="2"/>
      <c r="C119" s="2">
        <v>45376</v>
      </c>
      <c r="D119" t="s">
        <v>1373</v>
      </c>
      <c r="E119" t="s">
        <v>1375</v>
      </c>
      <c r="F119" t="s">
        <v>1704</v>
      </c>
      <c r="G119" t="s">
        <v>1384</v>
      </c>
      <c r="H119" t="s">
        <v>1391</v>
      </c>
      <c r="I119" t="s">
        <v>1392</v>
      </c>
      <c r="J119" t="s">
        <v>1397</v>
      </c>
      <c r="K119" t="s">
        <v>1504</v>
      </c>
      <c r="L119">
        <v>1121.3800000000001</v>
      </c>
      <c r="M119">
        <v>9</v>
      </c>
      <c r="N119">
        <v>0.2</v>
      </c>
      <c r="O119">
        <v>330.32</v>
      </c>
      <c r="P119">
        <v>124.59780000000001</v>
      </c>
      <c r="Q119">
        <f>Table1_2[[#This Row],[Ship Date]]-Table1_2[[#This Row],[order date]]</f>
        <v>45376</v>
      </c>
      <c r="R119">
        <f>Table1_2[[#This Row],[Profit]]/Table1_2[[#This Row],[Sales]]</f>
        <v>0.29456562449838586</v>
      </c>
    </row>
    <row r="120" spans="1:18" x14ac:dyDescent="0.3">
      <c r="A120" t="s">
        <v>133</v>
      </c>
      <c r="B120" s="2">
        <v>44610</v>
      </c>
      <c r="C120" s="2">
        <v>44616</v>
      </c>
      <c r="D120" t="s">
        <v>1371</v>
      </c>
      <c r="E120" t="s">
        <v>1376</v>
      </c>
      <c r="F120" t="s">
        <v>1704</v>
      </c>
      <c r="G120" t="s">
        <v>1384</v>
      </c>
      <c r="H120" t="s">
        <v>1391</v>
      </c>
      <c r="I120" t="s">
        <v>1394</v>
      </c>
      <c r="J120" t="s">
        <v>1402</v>
      </c>
      <c r="K120" t="s">
        <v>1505</v>
      </c>
      <c r="L120">
        <v>963.22</v>
      </c>
      <c r="M120">
        <v>7</v>
      </c>
      <c r="N120">
        <v>0.2</v>
      </c>
      <c r="O120">
        <v>165.34</v>
      </c>
      <c r="P120">
        <v>137.60290000000001</v>
      </c>
      <c r="Q120">
        <f>Table1_2[[#This Row],[Ship Date]]-Table1_2[[#This Row],[order date]]</f>
        <v>6</v>
      </c>
      <c r="R120" s="3">
        <f>Table1_2[[#This Row],[Profit]]/Table1_2[[#This Row],[Sales]]</f>
        <v>0.17165341251219868</v>
      </c>
    </row>
    <row r="121" spans="1:18" x14ac:dyDescent="0.3">
      <c r="A121" t="s">
        <v>134</v>
      </c>
      <c r="B121" s="2">
        <v>45306</v>
      </c>
      <c r="C121" s="2">
        <v>45313</v>
      </c>
      <c r="D121" t="s">
        <v>1366</v>
      </c>
      <c r="E121" t="s">
        <v>1374</v>
      </c>
      <c r="F121" t="s">
        <v>1379</v>
      </c>
      <c r="G121" t="s">
        <v>1384</v>
      </c>
      <c r="H121" t="s">
        <v>1389</v>
      </c>
      <c r="I121" t="s">
        <v>1392</v>
      </c>
      <c r="J121" t="s">
        <v>1397</v>
      </c>
      <c r="K121" t="s">
        <v>1497</v>
      </c>
      <c r="L121">
        <v>730.89</v>
      </c>
      <c r="M121">
        <v>3</v>
      </c>
      <c r="N121">
        <v>0</v>
      </c>
      <c r="O121">
        <v>-38.82</v>
      </c>
      <c r="P121">
        <v>243.63</v>
      </c>
      <c r="Q121">
        <f>Table1_2[[#This Row],[Ship Date]]-Table1_2[[#This Row],[order date]]</f>
        <v>7</v>
      </c>
      <c r="R121" s="3">
        <f>Table1_2[[#This Row],[Profit]]/Table1_2[[#This Row],[Sales]]</f>
        <v>-5.3113327586914588E-2</v>
      </c>
    </row>
    <row r="122" spans="1:18" x14ac:dyDescent="0.3">
      <c r="A122" t="s">
        <v>135</v>
      </c>
      <c r="B122" s="2">
        <v>45296</v>
      </c>
      <c r="C122" s="2">
        <v>45303</v>
      </c>
      <c r="D122" t="s">
        <v>1360</v>
      </c>
      <c r="E122" t="s">
        <v>1376</v>
      </c>
      <c r="F122" t="s">
        <v>1379</v>
      </c>
      <c r="G122" t="s">
        <v>1381</v>
      </c>
      <c r="H122" t="s">
        <v>1389</v>
      </c>
      <c r="I122" t="s">
        <v>1392</v>
      </c>
      <c r="J122" t="s">
        <v>1395</v>
      </c>
      <c r="K122" t="s">
        <v>1410</v>
      </c>
      <c r="L122">
        <v>543.80999999999995</v>
      </c>
      <c r="M122">
        <v>8</v>
      </c>
      <c r="N122">
        <v>0</v>
      </c>
      <c r="O122">
        <v>88.86</v>
      </c>
      <c r="P122">
        <v>67.976200000000006</v>
      </c>
      <c r="Q122">
        <f>Table1_2[[#This Row],[Ship Date]]-Table1_2[[#This Row],[order date]]</f>
        <v>7</v>
      </c>
      <c r="R122" s="3">
        <f>Table1_2[[#This Row],[Profit]]/Table1_2[[#This Row],[Sales]]</f>
        <v>0.16340265901693607</v>
      </c>
    </row>
    <row r="123" spans="1:18" x14ac:dyDescent="0.3">
      <c r="A123" t="s">
        <v>136</v>
      </c>
      <c r="B123" s="2">
        <v>45087</v>
      </c>
      <c r="C123" s="2">
        <v>45090</v>
      </c>
      <c r="D123" t="s">
        <v>1372</v>
      </c>
      <c r="E123" t="s">
        <v>1376</v>
      </c>
      <c r="F123" t="s">
        <v>1379</v>
      </c>
      <c r="G123" t="s">
        <v>1383</v>
      </c>
      <c r="H123" t="s">
        <v>1390</v>
      </c>
      <c r="I123" t="s">
        <v>1392</v>
      </c>
      <c r="J123" t="s">
        <v>1401</v>
      </c>
      <c r="K123" t="s">
        <v>1473</v>
      </c>
      <c r="L123">
        <v>1021.43</v>
      </c>
      <c r="M123">
        <v>8</v>
      </c>
      <c r="N123">
        <v>0</v>
      </c>
      <c r="O123">
        <v>-139.82</v>
      </c>
      <c r="P123">
        <v>127.67870000000001</v>
      </c>
      <c r="Q123">
        <f>Table1_2[[#This Row],[Ship Date]]-Table1_2[[#This Row],[order date]]</f>
        <v>3</v>
      </c>
      <c r="R123" s="3">
        <f>Table1_2[[#This Row],[Profit]]/Table1_2[[#This Row],[Sales]]</f>
        <v>-0.1368865218370324</v>
      </c>
    </row>
    <row r="124" spans="1:18" x14ac:dyDescent="0.3">
      <c r="A124" t="s">
        <v>137</v>
      </c>
      <c r="B124" s="2">
        <v>45022</v>
      </c>
      <c r="C124" s="2">
        <v>45028</v>
      </c>
      <c r="D124" t="s">
        <v>1362</v>
      </c>
      <c r="E124" t="s">
        <v>1376</v>
      </c>
      <c r="F124" t="s">
        <v>1704</v>
      </c>
      <c r="G124" t="s">
        <v>1381</v>
      </c>
      <c r="H124" t="s">
        <v>1388</v>
      </c>
      <c r="I124" t="s">
        <v>1394</v>
      </c>
      <c r="J124" t="s">
        <v>1403</v>
      </c>
      <c r="K124" t="s">
        <v>1506</v>
      </c>
      <c r="L124">
        <v>920.44</v>
      </c>
      <c r="M124">
        <v>10</v>
      </c>
      <c r="N124">
        <v>0.1</v>
      </c>
      <c r="O124">
        <v>59.58</v>
      </c>
      <c r="P124">
        <v>92.043999999999997</v>
      </c>
      <c r="Q124">
        <f>Table1_2[[#This Row],[Ship Date]]-Table1_2[[#This Row],[order date]]</f>
        <v>6</v>
      </c>
      <c r="R124" s="3">
        <f>Table1_2[[#This Row],[Profit]]/Table1_2[[#This Row],[Sales]]</f>
        <v>6.4729911781321967E-2</v>
      </c>
    </row>
    <row r="125" spans="1:18" hidden="1" x14ac:dyDescent="0.3">
      <c r="A125" t="s">
        <v>138</v>
      </c>
      <c r="B125" s="2">
        <v>44841</v>
      </c>
      <c r="C125" s="2">
        <v>44760</v>
      </c>
      <c r="D125" t="s">
        <v>1367</v>
      </c>
      <c r="E125" t="s">
        <v>1374</v>
      </c>
      <c r="F125" t="s">
        <v>1379</v>
      </c>
      <c r="G125" t="s">
        <v>1382</v>
      </c>
      <c r="H125" t="s">
        <v>1389</v>
      </c>
      <c r="I125" t="s">
        <v>1393</v>
      </c>
      <c r="J125" t="s">
        <v>1399</v>
      </c>
      <c r="K125" t="s">
        <v>1507</v>
      </c>
      <c r="L125">
        <v>1097.98</v>
      </c>
      <c r="M125">
        <v>2</v>
      </c>
      <c r="N125">
        <v>0.15</v>
      </c>
      <c r="O125">
        <v>205.85</v>
      </c>
      <c r="P125">
        <v>548.99</v>
      </c>
      <c r="Q125">
        <f>Table1_2[[#This Row],[Ship Date]]-Table1_2[[#This Row],[order date]]</f>
        <v>-81</v>
      </c>
      <c r="R125">
        <f>Table1_2[[#This Row],[Profit]]/Table1_2[[#This Row],[Sales]]</f>
        <v>0.18748064627770997</v>
      </c>
    </row>
    <row r="126" spans="1:18" x14ac:dyDescent="0.3">
      <c r="A126" t="s">
        <v>139</v>
      </c>
      <c r="B126" s="2">
        <v>44687</v>
      </c>
      <c r="C126" s="2">
        <v>44690</v>
      </c>
      <c r="D126" t="s">
        <v>1362</v>
      </c>
      <c r="E126" t="s">
        <v>1375</v>
      </c>
      <c r="F126" t="s">
        <v>1379</v>
      </c>
      <c r="G126" t="s">
        <v>1384</v>
      </c>
      <c r="H126" t="s">
        <v>1390</v>
      </c>
      <c r="I126" t="s">
        <v>1392</v>
      </c>
      <c r="J126" t="s">
        <v>1397</v>
      </c>
      <c r="K126" t="s">
        <v>1508</v>
      </c>
      <c r="L126">
        <v>223.73</v>
      </c>
      <c r="M126">
        <v>8</v>
      </c>
      <c r="N126">
        <v>0</v>
      </c>
      <c r="O126">
        <v>45.92</v>
      </c>
      <c r="P126">
        <v>27.966200000000001</v>
      </c>
      <c r="Q126">
        <f>Table1_2[[#This Row],[Ship Date]]-Table1_2[[#This Row],[order date]]</f>
        <v>3</v>
      </c>
      <c r="R126" s="3">
        <f>Table1_2[[#This Row],[Profit]]/Table1_2[[#This Row],[Sales]]</f>
        <v>0.20524739641532205</v>
      </c>
    </row>
    <row r="127" spans="1:18" x14ac:dyDescent="0.3">
      <c r="A127" t="s">
        <v>140</v>
      </c>
      <c r="B127" s="2">
        <v>45288</v>
      </c>
      <c r="C127" s="2">
        <v>45291</v>
      </c>
      <c r="D127" t="s">
        <v>1366</v>
      </c>
      <c r="E127" t="s">
        <v>1374</v>
      </c>
      <c r="F127" t="s">
        <v>1379</v>
      </c>
      <c r="G127" t="s">
        <v>1385</v>
      </c>
      <c r="H127" t="s">
        <v>1390</v>
      </c>
      <c r="I127" t="s">
        <v>1394</v>
      </c>
      <c r="J127" t="s">
        <v>1398</v>
      </c>
      <c r="K127" t="s">
        <v>1491</v>
      </c>
      <c r="L127">
        <v>284.61</v>
      </c>
      <c r="M127">
        <v>4</v>
      </c>
      <c r="N127">
        <v>0.1</v>
      </c>
      <c r="O127">
        <v>-23.23</v>
      </c>
      <c r="P127">
        <v>71.152500000000003</v>
      </c>
      <c r="Q127">
        <f>Table1_2[[#This Row],[Ship Date]]-Table1_2[[#This Row],[order date]]</f>
        <v>3</v>
      </c>
      <c r="R127" s="3">
        <f>Table1_2[[#This Row],[Profit]]/Table1_2[[#This Row],[Sales]]</f>
        <v>-8.1620463089842235E-2</v>
      </c>
    </row>
    <row r="128" spans="1:18" x14ac:dyDescent="0.3">
      <c r="A128" t="s">
        <v>141</v>
      </c>
      <c r="B128" s="2">
        <v>44650</v>
      </c>
      <c r="C128" s="2">
        <v>44652</v>
      </c>
      <c r="D128" t="s">
        <v>1359</v>
      </c>
      <c r="E128" t="s">
        <v>1375</v>
      </c>
      <c r="F128" t="s">
        <v>1379</v>
      </c>
      <c r="G128" t="s">
        <v>1382</v>
      </c>
      <c r="H128" t="s">
        <v>1388</v>
      </c>
      <c r="I128" t="s">
        <v>1394</v>
      </c>
      <c r="J128" t="s">
        <v>1403</v>
      </c>
      <c r="K128" t="s">
        <v>1509</v>
      </c>
      <c r="L128">
        <v>1199.52</v>
      </c>
      <c r="M128">
        <v>8</v>
      </c>
      <c r="N128">
        <v>0</v>
      </c>
      <c r="O128">
        <v>6.47</v>
      </c>
      <c r="P128">
        <v>149.94</v>
      </c>
      <c r="Q128">
        <f>Table1_2[[#This Row],[Ship Date]]-Table1_2[[#This Row],[order date]]</f>
        <v>2</v>
      </c>
      <c r="R128" s="3">
        <f>Table1_2[[#This Row],[Profit]]/Table1_2[[#This Row],[Sales]]</f>
        <v>5.393824196345205E-3</v>
      </c>
    </row>
    <row r="129" spans="1:18" x14ac:dyDescent="0.3">
      <c r="A129" t="s">
        <v>142</v>
      </c>
      <c r="B129" s="2">
        <v>45039</v>
      </c>
      <c r="C129" s="2">
        <v>45048</v>
      </c>
      <c r="D129" t="s">
        <v>1365</v>
      </c>
      <c r="E129" t="s">
        <v>1375</v>
      </c>
      <c r="F129" t="s">
        <v>1379</v>
      </c>
      <c r="G129" t="s">
        <v>1383</v>
      </c>
      <c r="H129" t="s">
        <v>1390</v>
      </c>
      <c r="I129" t="s">
        <v>1394</v>
      </c>
      <c r="J129" t="s">
        <v>1402</v>
      </c>
      <c r="K129" t="s">
        <v>1510</v>
      </c>
      <c r="L129">
        <v>1055.99</v>
      </c>
      <c r="M129">
        <v>9</v>
      </c>
      <c r="N129">
        <v>0</v>
      </c>
      <c r="O129">
        <v>-115.12</v>
      </c>
      <c r="P129">
        <v>117.3322</v>
      </c>
      <c r="Q129">
        <f>Table1_2[[#This Row],[Ship Date]]-Table1_2[[#This Row],[order date]]</f>
        <v>9</v>
      </c>
      <c r="R129" s="3">
        <f>Table1_2[[#This Row],[Profit]]/Table1_2[[#This Row],[Sales]]</f>
        <v>-0.10901618386537752</v>
      </c>
    </row>
    <row r="130" spans="1:18" x14ac:dyDescent="0.3">
      <c r="A130" t="s">
        <v>143</v>
      </c>
      <c r="B130" s="2">
        <v>44730</v>
      </c>
      <c r="C130" s="2">
        <v>44733</v>
      </c>
      <c r="D130" t="s">
        <v>1370</v>
      </c>
      <c r="E130" t="s">
        <v>1374</v>
      </c>
      <c r="F130" t="s">
        <v>1379</v>
      </c>
      <c r="G130" t="s">
        <v>1387</v>
      </c>
      <c r="H130" t="s">
        <v>1391</v>
      </c>
      <c r="I130" t="s">
        <v>1394</v>
      </c>
      <c r="J130" t="s">
        <v>1398</v>
      </c>
      <c r="K130" t="s">
        <v>1491</v>
      </c>
      <c r="L130">
        <v>286.05</v>
      </c>
      <c r="M130">
        <v>9</v>
      </c>
      <c r="N130">
        <v>0.15</v>
      </c>
      <c r="O130">
        <v>63.78</v>
      </c>
      <c r="P130">
        <v>31.783300000000001</v>
      </c>
      <c r="Q130">
        <f>Table1_2[[#This Row],[Ship Date]]-Table1_2[[#This Row],[order date]]</f>
        <v>3</v>
      </c>
      <c r="R130" s="3">
        <f>Table1_2[[#This Row],[Profit]]/Table1_2[[#This Row],[Sales]]</f>
        <v>0.22296801258521237</v>
      </c>
    </row>
    <row r="131" spans="1:18" x14ac:dyDescent="0.3">
      <c r="A131" t="s">
        <v>144</v>
      </c>
      <c r="B131" s="2">
        <v>44933</v>
      </c>
      <c r="C131" s="2">
        <v>45110</v>
      </c>
      <c r="D131" t="s">
        <v>1360</v>
      </c>
      <c r="E131" t="s">
        <v>1374</v>
      </c>
      <c r="F131" t="s">
        <v>1379</v>
      </c>
      <c r="G131" t="s">
        <v>1386</v>
      </c>
      <c r="H131" t="s">
        <v>1388</v>
      </c>
      <c r="I131" t="s">
        <v>1393</v>
      </c>
      <c r="J131" t="s">
        <v>1396</v>
      </c>
      <c r="K131" t="s">
        <v>1511</v>
      </c>
      <c r="L131">
        <v>218.99</v>
      </c>
      <c r="M131">
        <v>10</v>
      </c>
      <c r="N131">
        <v>0.1</v>
      </c>
      <c r="O131">
        <v>-25.05</v>
      </c>
      <c r="P131">
        <v>21.899000000000001</v>
      </c>
      <c r="Q131">
        <f>Table1_2[[#This Row],[Ship Date]]-Table1_2[[#This Row],[order date]]</f>
        <v>177</v>
      </c>
      <c r="R131" s="3">
        <f>Table1_2[[#This Row],[Profit]]/Table1_2[[#This Row],[Sales]]</f>
        <v>-0.11438878487602173</v>
      </c>
    </row>
    <row r="132" spans="1:18" x14ac:dyDescent="0.3">
      <c r="A132" t="s">
        <v>145</v>
      </c>
      <c r="B132" s="2">
        <v>44608</v>
      </c>
      <c r="C132" s="2">
        <v>44618</v>
      </c>
      <c r="D132" t="s">
        <v>1365</v>
      </c>
      <c r="E132" t="s">
        <v>1374</v>
      </c>
      <c r="F132" t="s">
        <v>1379</v>
      </c>
      <c r="G132" t="s">
        <v>1382</v>
      </c>
      <c r="H132" t="s">
        <v>1391</v>
      </c>
      <c r="I132" t="s">
        <v>1394</v>
      </c>
      <c r="J132" t="s">
        <v>1398</v>
      </c>
      <c r="K132" t="s">
        <v>1490</v>
      </c>
      <c r="L132">
        <v>268.75</v>
      </c>
      <c r="M132">
        <v>10</v>
      </c>
      <c r="N132">
        <v>0.2</v>
      </c>
      <c r="O132">
        <v>29.31</v>
      </c>
      <c r="P132">
        <v>26.875</v>
      </c>
      <c r="Q132">
        <f>Table1_2[[#This Row],[Ship Date]]-Table1_2[[#This Row],[order date]]</f>
        <v>10</v>
      </c>
      <c r="R132" s="3">
        <f>Table1_2[[#This Row],[Profit]]/Table1_2[[#This Row],[Sales]]</f>
        <v>0.10906046511627907</v>
      </c>
    </row>
    <row r="133" spans="1:18" x14ac:dyDescent="0.3">
      <c r="A133" t="s">
        <v>146</v>
      </c>
      <c r="B133" s="2">
        <v>44812</v>
      </c>
      <c r="C133" s="2">
        <v>44819</v>
      </c>
      <c r="D133" t="s">
        <v>1367</v>
      </c>
      <c r="E133" t="s">
        <v>1376</v>
      </c>
      <c r="F133" t="s">
        <v>1704</v>
      </c>
      <c r="G133" t="s">
        <v>1384</v>
      </c>
      <c r="H133" t="s">
        <v>1391</v>
      </c>
      <c r="I133" t="s">
        <v>1394</v>
      </c>
      <c r="J133" t="s">
        <v>1403</v>
      </c>
      <c r="K133" t="s">
        <v>1512</v>
      </c>
      <c r="L133">
        <v>106.11</v>
      </c>
      <c r="M133">
        <v>1</v>
      </c>
      <c r="N133">
        <v>0.1</v>
      </c>
      <c r="O133">
        <v>2.1</v>
      </c>
      <c r="P133">
        <v>106.11</v>
      </c>
      <c r="Q133">
        <f>Table1_2[[#This Row],[Ship Date]]-Table1_2[[#This Row],[order date]]</f>
        <v>7</v>
      </c>
      <c r="R133" s="3">
        <f>Table1_2[[#This Row],[Profit]]/Table1_2[[#This Row],[Sales]]</f>
        <v>1.9790783149561775E-2</v>
      </c>
    </row>
    <row r="134" spans="1:18" x14ac:dyDescent="0.3">
      <c r="A134" t="s">
        <v>147</v>
      </c>
      <c r="B134" s="2">
        <v>45443</v>
      </c>
      <c r="C134" s="2">
        <v>45449</v>
      </c>
      <c r="D134" t="s">
        <v>1367</v>
      </c>
      <c r="E134" t="s">
        <v>1376</v>
      </c>
      <c r="F134" t="s">
        <v>1704</v>
      </c>
      <c r="G134" t="s">
        <v>1387</v>
      </c>
      <c r="H134" t="s">
        <v>1390</v>
      </c>
      <c r="I134" t="s">
        <v>1394</v>
      </c>
      <c r="J134" t="s">
        <v>1402</v>
      </c>
      <c r="K134" t="s">
        <v>1513</v>
      </c>
      <c r="L134">
        <v>917.58</v>
      </c>
      <c r="M134">
        <v>9</v>
      </c>
      <c r="N134">
        <v>0</v>
      </c>
      <c r="O134">
        <v>-134.80000000000001</v>
      </c>
      <c r="P134">
        <v>101.9533</v>
      </c>
      <c r="Q134">
        <f>Table1_2[[#This Row],[Ship Date]]-Table1_2[[#This Row],[order date]]</f>
        <v>6</v>
      </c>
      <c r="R134" s="3">
        <f>Table1_2[[#This Row],[Profit]]/Table1_2[[#This Row],[Sales]]</f>
        <v>-0.14690817149458357</v>
      </c>
    </row>
    <row r="135" spans="1:18" hidden="1" x14ac:dyDescent="0.3">
      <c r="A135" t="s">
        <v>148</v>
      </c>
      <c r="B135" s="2"/>
      <c r="C135" s="2">
        <v>44618</v>
      </c>
      <c r="D135" t="s">
        <v>1371</v>
      </c>
      <c r="E135" t="s">
        <v>1375</v>
      </c>
      <c r="F135" t="s">
        <v>1704</v>
      </c>
      <c r="G135" t="s">
        <v>1383</v>
      </c>
      <c r="H135" t="s">
        <v>1389</v>
      </c>
      <c r="I135" t="s">
        <v>1394</v>
      </c>
      <c r="J135" t="s">
        <v>1398</v>
      </c>
      <c r="K135" t="s">
        <v>1440</v>
      </c>
      <c r="L135">
        <v>513.4</v>
      </c>
      <c r="M135">
        <v>3</v>
      </c>
      <c r="N135">
        <v>0.15</v>
      </c>
      <c r="O135">
        <v>137.01</v>
      </c>
      <c r="P135">
        <v>171.13329999999999</v>
      </c>
      <c r="Q135">
        <f>Table1_2[[#This Row],[Ship Date]]-Table1_2[[#This Row],[order date]]</f>
        <v>44618</v>
      </c>
      <c r="R135">
        <f>Table1_2[[#This Row],[Profit]]/Table1_2[[#This Row],[Sales]]</f>
        <v>0.26686793922867158</v>
      </c>
    </row>
    <row r="136" spans="1:18" x14ac:dyDescent="0.3">
      <c r="A136" t="s">
        <v>149</v>
      </c>
      <c r="B136" s="2">
        <v>45462</v>
      </c>
      <c r="C136" s="2">
        <v>45467</v>
      </c>
      <c r="D136" t="s">
        <v>1370</v>
      </c>
      <c r="E136" t="s">
        <v>1376</v>
      </c>
      <c r="F136" t="s">
        <v>1379</v>
      </c>
      <c r="G136" t="s">
        <v>1381</v>
      </c>
      <c r="H136" t="s">
        <v>1391</v>
      </c>
      <c r="I136" t="s">
        <v>1394</v>
      </c>
      <c r="J136" t="s">
        <v>1402</v>
      </c>
      <c r="K136" t="s">
        <v>1514</v>
      </c>
      <c r="L136">
        <v>126.26</v>
      </c>
      <c r="M136">
        <v>7</v>
      </c>
      <c r="N136">
        <v>0</v>
      </c>
      <c r="O136">
        <v>3.61</v>
      </c>
      <c r="P136">
        <v>18.037099999999999</v>
      </c>
      <c r="Q136">
        <f>Table1_2[[#This Row],[Ship Date]]-Table1_2[[#This Row],[order date]]</f>
        <v>5</v>
      </c>
      <c r="R136" s="3">
        <f>Table1_2[[#This Row],[Profit]]/Table1_2[[#This Row],[Sales]]</f>
        <v>2.8591794709329953E-2</v>
      </c>
    </row>
    <row r="137" spans="1:18" x14ac:dyDescent="0.3">
      <c r="A137" t="s">
        <v>150</v>
      </c>
      <c r="B137" s="2">
        <v>45173</v>
      </c>
      <c r="C137" s="2">
        <v>45181</v>
      </c>
      <c r="D137" t="s">
        <v>1372</v>
      </c>
      <c r="E137" t="s">
        <v>1376</v>
      </c>
      <c r="F137" t="s">
        <v>1379</v>
      </c>
      <c r="G137" t="s">
        <v>1385</v>
      </c>
      <c r="H137" t="s">
        <v>1388</v>
      </c>
      <c r="I137" t="s">
        <v>1394</v>
      </c>
      <c r="J137" t="s">
        <v>1398</v>
      </c>
      <c r="K137" t="s">
        <v>1515</v>
      </c>
      <c r="L137">
        <v>29.65</v>
      </c>
      <c r="M137">
        <v>2</v>
      </c>
      <c r="N137">
        <v>0.2</v>
      </c>
      <c r="O137">
        <v>-3.94</v>
      </c>
      <c r="P137">
        <v>14.824999999999999</v>
      </c>
      <c r="Q137">
        <f>Table1_2[[#This Row],[Ship Date]]-Table1_2[[#This Row],[order date]]</f>
        <v>8</v>
      </c>
      <c r="R137" s="3">
        <f>Table1_2[[#This Row],[Profit]]/Table1_2[[#This Row],[Sales]]</f>
        <v>-0.13288364249578416</v>
      </c>
    </row>
    <row r="138" spans="1:18" hidden="1" x14ac:dyDescent="0.3">
      <c r="A138" t="s">
        <v>151</v>
      </c>
      <c r="B138" s="2"/>
      <c r="C138" s="2">
        <v>45141</v>
      </c>
      <c r="D138" t="s">
        <v>1362</v>
      </c>
      <c r="E138" t="s">
        <v>1374</v>
      </c>
      <c r="F138" t="s">
        <v>1379</v>
      </c>
      <c r="G138" t="s">
        <v>1387</v>
      </c>
      <c r="H138" t="s">
        <v>1388</v>
      </c>
      <c r="I138" t="s">
        <v>1394</v>
      </c>
      <c r="J138" t="s">
        <v>1398</v>
      </c>
      <c r="K138" t="s">
        <v>1422</v>
      </c>
      <c r="L138">
        <v>360.55</v>
      </c>
      <c r="M138">
        <v>7</v>
      </c>
      <c r="N138">
        <v>0</v>
      </c>
      <c r="O138">
        <v>9.08</v>
      </c>
      <c r="P138">
        <v>51.507100000000001</v>
      </c>
      <c r="Q138">
        <f>Table1_2[[#This Row],[Ship Date]]-Table1_2[[#This Row],[order date]]</f>
        <v>45141</v>
      </c>
      <c r="R138">
        <f>Table1_2[[#This Row],[Profit]]/Table1_2[[#This Row],[Sales]]</f>
        <v>2.5183747053113298E-2</v>
      </c>
    </row>
    <row r="139" spans="1:18" hidden="1" x14ac:dyDescent="0.3">
      <c r="A139" t="s">
        <v>152</v>
      </c>
      <c r="B139" s="2"/>
      <c r="C139" s="2">
        <v>44950</v>
      </c>
      <c r="D139" t="s">
        <v>1369</v>
      </c>
      <c r="E139" t="s">
        <v>1375</v>
      </c>
      <c r="F139" t="s">
        <v>1704</v>
      </c>
      <c r="G139" t="s">
        <v>1382</v>
      </c>
      <c r="H139" t="s">
        <v>1391</v>
      </c>
      <c r="I139" t="s">
        <v>1393</v>
      </c>
      <c r="J139" t="s">
        <v>1399</v>
      </c>
      <c r="K139" t="s">
        <v>1516</v>
      </c>
      <c r="L139">
        <v>910.86</v>
      </c>
      <c r="M139">
        <v>4</v>
      </c>
      <c r="N139">
        <v>0</v>
      </c>
      <c r="O139">
        <v>49.7</v>
      </c>
      <c r="P139">
        <v>227.715</v>
      </c>
      <c r="Q139">
        <f>Table1_2[[#This Row],[Ship Date]]-Table1_2[[#This Row],[order date]]</f>
        <v>44950</v>
      </c>
      <c r="R139">
        <f>Table1_2[[#This Row],[Profit]]/Table1_2[[#This Row],[Sales]]</f>
        <v>5.4563818808598473E-2</v>
      </c>
    </row>
    <row r="140" spans="1:18" x14ac:dyDescent="0.3">
      <c r="A140" t="s">
        <v>153</v>
      </c>
      <c r="B140" s="2">
        <v>45093</v>
      </c>
      <c r="C140" s="2">
        <v>45101</v>
      </c>
      <c r="D140" t="s">
        <v>1368</v>
      </c>
      <c r="E140" t="s">
        <v>1374</v>
      </c>
      <c r="F140" t="s">
        <v>1379</v>
      </c>
      <c r="G140" t="s">
        <v>1383</v>
      </c>
      <c r="H140" t="s">
        <v>1391</v>
      </c>
      <c r="I140" t="s">
        <v>1392</v>
      </c>
      <c r="J140" t="s">
        <v>1395</v>
      </c>
      <c r="K140" t="s">
        <v>1424</v>
      </c>
      <c r="L140">
        <v>1073.9000000000001</v>
      </c>
      <c r="M140">
        <v>3</v>
      </c>
      <c r="N140">
        <v>0.15</v>
      </c>
      <c r="O140">
        <v>285.32</v>
      </c>
      <c r="P140">
        <v>357.9667</v>
      </c>
      <c r="Q140">
        <f>Table1_2[[#This Row],[Ship Date]]-Table1_2[[#This Row],[order date]]</f>
        <v>8</v>
      </c>
      <c r="R140" s="3">
        <f>Table1_2[[#This Row],[Profit]]/Table1_2[[#This Row],[Sales]]</f>
        <v>0.26568581804637298</v>
      </c>
    </row>
    <row r="141" spans="1:18" x14ac:dyDescent="0.3">
      <c r="A141" t="s">
        <v>154</v>
      </c>
      <c r="B141" s="2">
        <v>45410</v>
      </c>
      <c r="C141" s="2">
        <v>45419</v>
      </c>
      <c r="D141" t="s">
        <v>1362</v>
      </c>
      <c r="E141" t="s">
        <v>1375</v>
      </c>
      <c r="F141" t="s">
        <v>1704</v>
      </c>
      <c r="G141" t="s">
        <v>1383</v>
      </c>
      <c r="H141" t="s">
        <v>1391</v>
      </c>
      <c r="I141" t="s">
        <v>1393</v>
      </c>
      <c r="J141" t="s">
        <v>1399</v>
      </c>
      <c r="K141" t="s">
        <v>1517</v>
      </c>
      <c r="L141">
        <v>856.31</v>
      </c>
      <c r="M141">
        <v>5</v>
      </c>
      <c r="N141">
        <v>0.2</v>
      </c>
      <c r="O141">
        <v>178</v>
      </c>
      <c r="P141">
        <v>171.262</v>
      </c>
      <c r="Q141">
        <f>Table1_2[[#This Row],[Ship Date]]-Table1_2[[#This Row],[order date]]</f>
        <v>9</v>
      </c>
      <c r="R141" s="3">
        <f>Table1_2[[#This Row],[Profit]]/Table1_2[[#This Row],[Sales]]</f>
        <v>0.20786864570073924</v>
      </c>
    </row>
    <row r="142" spans="1:18" x14ac:dyDescent="0.3">
      <c r="A142" t="s">
        <v>155</v>
      </c>
      <c r="B142" s="2">
        <v>45455</v>
      </c>
      <c r="C142" s="2">
        <v>45456</v>
      </c>
      <c r="D142" t="s">
        <v>1360</v>
      </c>
      <c r="E142" t="s">
        <v>1375</v>
      </c>
      <c r="F142" t="s">
        <v>1704</v>
      </c>
      <c r="G142" t="s">
        <v>1387</v>
      </c>
      <c r="H142" t="s">
        <v>1390</v>
      </c>
      <c r="I142" t="s">
        <v>1393</v>
      </c>
      <c r="J142" t="s">
        <v>1399</v>
      </c>
      <c r="K142" t="s">
        <v>1518</v>
      </c>
      <c r="L142">
        <v>333.33</v>
      </c>
      <c r="M142">
        <v>10</v>
      </c>
      <c r="N142">
        <v>0</v>
      </c>
      <c r="O142">
        <v>-28.74</v>
      </c>
      <c r="P142">
        <v>33.332999999999998</v>
      </c>
      <c r="Q142">
        <f>Table1_2[[#This Row],[Ship Date]]-Table1_2[[#This Row],[order date]]</f>
        <v>1</v>
      </c>
      <c r="R142" s="3">
        <f>Table1_2[[#This Row],[Profit]]/Table1_2[[#This Row],[Sales]]</f>
        <v>-8.6220862208622087E-2</v>
      </c>
    </row>
    <row r="143" spans="1:18" x14ac:dyDescent="0.3">
      <c r="A143" t="s">
        <v>156</v>
      </c>
      <c r="B143" s="2">
        <v>45148</v>
      </c>
      <c r="C143" s="2">
        <v>45150</v>
      </c>
      <c r="D143" t="s">
        <v>1365</v>
      </c>
      <c r="E143" t="s">
        <v>1374</v>
      </c>
      <c r="F143" t="s">
        <v>1704</v>
      </c>
      <c r="G143" t="s">
        <v>1386</v>
      </c>
      <c r="H143" t="s">
        <v>1388</v>
      </c>
      <c r="I143" t="s">
        <v>1392</v>
      </c>
      <c r="J143" t="s">
        <v>1401</v>
      </c>
      <c r="K143" t="s">
        <v>1519</v>
      </c>
      <c r="L143">
        <v>540.42999999999995</v>
      </c>
      <c r="M143">
        <v>7</v>
      </c>
      <c r="N143">
        <v>0.1</v>
      </c>
      <c r="O143">
        <v>3.5</v>
      </c>
      <c r="P143">
        <v>77.204300000000003</v>
      </c>
      <c r="Q143">
        <f>Table1_2[[#This Row],[Ship Date]]-Table1_2[[#This Row],[order date]]</f>
        <v>2</v>
      </c>
      <c r="R143" s="3">
        <f>Table1_2[[#This Row],[Profit]]/Table1_2[[#This Row],[Sales]]</f>
        <v>6.4763244083415068E-3</v>
      </c>
    </row>
    <row r="144" spans="1:18" x14ac:dyDescent="0.3">
      <c r="A144" t="s">
        <v>157</v>
      </c>
      <c r="B144" s="2">
        <v>44703</v>
      </c>
      <c r="C144" s="2">
        <v>44712</v>
      </c>
      <c r="D144" t="s">
        <v>1365</v>
      </c>
      <c r="E144" t="s">
        <v>1376</v>
      </c>
      <c r="F144" t="s">
        <v>1379</v>
      </c>
      <c r="G144" t="s">
        <v>1382</v>
      </c>
      <c r="H144" t="s">
        <v>1391</v>
      </c>
      <c r="I144" t="s">
        <v>1392</v>
      </c>
      <c r="J144" t="s">
        <v>1395</v>
      </c>
      <c r="K144" t="s">
        <v>1520</v>
      </c>
      <c r="L144">
        <v>403.56</v>
      </c>
      <c r="M144">
        <v>8</v>
      </c>
      <c r="N144">
        <v>0</v>
      </c>
      <c r="O144">
        <v>-4.68</v>
      </c>
      <c r="P144">
        <v>50.445</v>
      </c>
      <c r="Q144">
        <f>Table1_2[[#This Row],[Ship Date]]-Table1_2[[#This Row],[order date]]</f>
        <v>9</v>
      </c>
      <c r="R144" s="3">
        <f>Table1_2[[#This Row],[Profit]]/Table1_2[[#This Row],[Sales]]</f>
        <v>-1.159678858162355E-2</v>
      </c>
    </row>
    <row r="145" spans="1:18" hidden="1" x14ac:dyDescent="0.3">
      <c r="A145" t="s">
        <v>158</v>
      </c>
      <c r="B145" s="2">
        <v>45235</v>
      </c>
      <c r="C145" s="2">
        <v>45061</v>
      </c>
      <c r="D145" t="s">
        <v>1370</v>
      </c>
      <c r="E145" t="s">
        <v>1374</v>
      </c>
      <c r="F145" t="s">
        <v>1704</v>
      </c>
      <c r="G145" t="s">
        <v>1384</v>
      </c>
      <c r="H145" t="s">
        <v>1389</v>
      </c>
      <c r="I145" t="s">
        <v>1392</v>
      </c>
      <c r="J145" t="s">
        <v>1397</v>
      </c>
      <c r="K145" t="s">
        <v>1521</v>
      </c>
      <c r="L145">
        <v>678.54</v>
      </c>
      <c r="M145">
        <v>4</v>
      </c>
      <c r="N145">
        <v>0.15</v>
      </c>
      <c r="O145">
        <v>125.93</v>
      </c>
      <c r="P145">
        <v>169.63499999999999</v>
      </c>
      <c r="Q145">
        <f>Table1_2[[#This Row],[Ship Date]]-Table1_2[[#This Row],[order date]]</f>
        <v>-174</v>
      </c>
      <c r="R145">
        <f>Table1_2[[#This Row],[Profit]]/Table1_2[[#This Row],[Sales]]</f>
        <v>0.18558964836266104</v>
      </c>
    </row>
    <row r="146" spans="1:18" x14ac:dyDescent="0.3">
      <c r="A146" t="s">
        <v>159</v>
      </c>
      <c r="B146" s="2">
        <v>45135</v>
      </c>
      <c r="C146" s="2">
        <v>45140</v>
      </c>
      <c r="D146" t="s">
        <v>1371</v>
      </c>
      <c r="E146" t="s">
        <v>1376</v>
      </c>
      <c r="F146" t="s">
        <v>1379</v>
      </c>
      <c r="G146" t="s">
        <v>1384</v>
      </c>
      <c r="H146" t="s">
        <v>1388</v>
      </c>
      <c r="I146" t="s">
        <v>1394</v>
      </c>
      <c r="J146" t="s">
        <v>1402</v>
      </c>
      <c r="K146" t="s">
        <v>1449</v>
      </c>
      <c r="L146">
        <v>696.7</v>
      </c>
      <c r="M146">
        <v>9</v>
      </c>
      <c r="N146">
        <v>0.2</v>
      </c>
      <c r="O146">
        <v>172.7</v>
      </c>
      <c r="P146">
        <v>77.411100000000005</v>
      </c>
      <c r="Q146">
        <f>Table1_2[[#This Row],[Ship Date]]-Table1_2[[#This Row],[order date]]</f>
        <v>5</v>
      </c>
      <c r="R146" s="3">
        <f>Table1_2[[#This Row],[Profit]]/Table1_2[[#This Row],[Sales]]</f>
        <v>0.24788287641739626</v>
      </c>
    </row>
    <row r="147" spans="1:18" hidden="1" x14ac:dyDescent="0.3">
      <c r="A147" t="s">
        <v>160</v>
      </c>
      <c r="B147" s="2"/>
      <c r="C147" s="2">
        <v>45019</v>
      </c>
      <c r="D147" t="s">
        <v>1371</v>
      </c>
      <c r="E147" t="s">
        <v>1375</v>
      </c>
      <c r="F147" t="s">
        <v>1704</v>
      </c>
      <c r="G147" t="s">
        <v>1387</v>
      </c>
      <c r="H147" t="s">
        <v>1388</v>
      </c>
      <c r="I147" t="s">
        <v>1393</v>
      </c>
      <c r="J147" t="s">
        <v>1399</v>
      </c>
      <c r="K147" t="s">
        <v>1522</v>
      </c>
      <c r="L147">
        <v>272.5</v>
      </c>
      <c r="M147">
        <v>9</v>
      </c>
      <c r="N147">
        <v>0.15</v>
      </c>
      <c r="O147">
        <v>72.62</v>
      </c>
      <c r="P147">
        <v>30.277799999999999</v>
      </c>
      <c r="Q147">
        <f>Table1_2[[#This Row],[Ship Date]]-Table1_2[[#This Row],[order date]]</f>
        <v>45019</v>
      </c>
      <c r="R147">
        <f>Table1_2[[#This Row],[Profit]]/Table1_2[[#This Row],[Sales]]</f>
        <v>0.26649541284403672</v>
      </c>
    </row>
    <row r="148" spans="1:18" x14ac:dyDescent="0.3">
      <c r="A148" t="s">
        <v>161</v>
      </c>
      <c r="B148" s="2">
        <v>45105</v>
      </c>
      <c r="C148" s="2">
        <v>45109</v>
      </c>
      <c r="D148" t="s">
        <v>1363</v>
      </c>
      <c r="E148" t="s">
        <v>1374</v>
      </c>
      <c r="F148" t="s">
        <v>1704</v>
      </c>
      <c r="G148" t="s">
        <v>1385</v>
      </c>
      <c r="H148" t="s">
        <v>1389</v>
      </c>
      <c r="I148" t="s">
        <v>1393</v>
      </c>
      <c r="J148" t="s">
        <v>1400</v>
      </c>
      <c r="K148" t="s">
        <v>1523</v>
      </c>
      <c r="L148">
        <v>81.94</v>
      </c>
      <c r="M148">
        <v>7</v>
      </c>
      <c r="N148">
        <v>0.15</v>
      </c>
      <c r="O148">
        <v>13</v>
      </c>
      <c r="P148">
        <v>11.7057</v>
      </c>
      <c r="Q148">
        <f>Table1_2[[#This Row],[Ship Date]]-Table1_2[[#This Row],[order date]]</f>
        <v>4</v>
      </c>
      <c r="R148" s="3">
        <f>Table1_2[[#This Row],[Profit]]/Table1_2[[#This Row],[Sales]]</f>
        <v>0.15865267268733219</v>
      </c>
    </row>
    <row r="149" spans="1:18" x14ac:dyDescent="0.3">
      <c r="A149" t="s">
        <v>162</v>
      </c>
      <c r="B149" s="2">
        <v>45228</v>
      </c>
      <c r="C149" s="2">
        <v>45232</v>
      </c>
      <c r="D149" t="s">
        <v>1364</v>
      </c>
      <c r="E149" t="s">
        <v>1374</v>
      </c>
      <c r="F149" t="s">
        <v>1379</v>
      </c>
      <c r="G149" t="s">
        <v>1387</v>
      </c>
      <c r="H149" t="s">
        <v>1389</v>
      </c>
      <c r="I149" t="s">
        <v>1394</v>
      </c>
      <c r="J149" t="s">
        <v>1403</v>
      </c>
      <c r="K149" t="s">
        <v>1489</v>
      </c>
      <c r="L149">
        <v>356.79</v>
      </c>
      <c r="M149">
        <v>1</v>
      </c>
      <c r="N149">
        <v>0</v>
      </c>
      <c r="O149">
        <v>45.01</v>
      </c>
      <c r="P149">
        <v>356.79</v>
      </c>
      <c r="Q149">
        <f>Table1_2[[#This Row],[Ship Date]]-Table1_2[[#This Row],[order date]]</f>
        <v>4</v>
      </c>
      <c r="R149" s="3">
        <f>Table1_2[[#This Row],[Profit]]/Table1_2[[#This Row],[Sales]]</f>
        <v>0.12615263880714145</v>
      </c>
    </row>
    <row r="150" spans="1:18" hidden="1" x14ac:dyDescent="0.3">
      <c r="A150" t="s">
        <v>163</v>
      </c>
      <c r="B150" s="2">
        <v>44744</v>
      </c>
      <c r="C150" s="2">
        <v>44606</v>
      </c>
      <c r="D150" t="s">
        <v>1359</v>
      </c>
      <c r="E150" t="s">
        <v>1376</v>
      </c>
      <c r="F150" t="s">
        <v>1379</v>
      </c>
      <c r="G150" t="s">
        <v>1385</v>
      </c>
      <c r="H150" t="s">
        <v>1389</v>
      </c>
      <c r="I150" t="s">
        <v>1394</v>
      </c>
      <c r="J150" t="s">
        <v>1402</v>
      </c>
      <c r="K150" t="s">
        <v>1477</v>
      </c>
      <c r="L150">
        <v>1125.2</v>
      </c>
      <c r="M150">
        <v>5</v>
      </c>
      <c r="N150">
        <v>0</v>
      </c>
      <c r="O150">
        <v>-219.83</v>
      </c>
      <c r="P150">
        <v>225.04</v>
      </c>
      <c r="Q150">
        <f>Table1_2[[#This Row],[Ship Date]]-Table1_2[[#This Row],[order date]]</f>
        <v>-138</v>
      </c>
      <c r="R150">
        <f>Table1_2[[#This Row],[Profit]]/Table1_2[[#This Row],[Sales]]</f>
        <v>-0.19536971205119091</v>
      </c>
    </row>
    <row r="151" spans="1:18" x14ac:dyDescent="0.3">
      <c r="A151" t="s">
        <v>164</v>
      </c>
      <c r="B151" s="2">
        <v>45433</v>
      </c>
      <c r="C151" s="2">
        <v>45442</v>
      </c>
      <c r="D151" t="s">
        <v>1362</v>
      </c>
      <c r="E151" t="s">
        <v>1375</v>
      </c>
      <c r="F151" t="s">
        <v>1379</v>
      </c>
      <c r="G151" t="s">
        <v>1382</v>
      </c>
      <c r="H151" t="s">
        <v>1391</v>
      </c>
      <c r="I151" t="s">
        <v>1394</v>
      </c>
      <c r="J151" t="s">
        <v>1403</v>
      </c>
      <c r="K151" t="s">
        <v>1524</v>
      </c>
      <c r="L151">
        <v>247.52</v>
      </c>
      <c r="M151">
        <v>2</v>
      </c>
      <c r="N151">
        <v>0.15</v>
      </c>
      <c r="O151">
        <v>-29.39</v>
      </c>
      <c r="P151">
        <v>123.76</v>
      </c>
      <c r="Q151">
        <f>Table1_2[[#This Row],[Ship Date]]-Table1_2[[#This Row],[order date]]</f>
        <v>9</v>
      </c>
      <c r="R151" s="3">
        <f>Table1_2[[#This Row],[Profit]]/Table1_2[[#This Row],[Sales]]</f>
        <v>-0.11873787976729153</v>
      </c>
    </row>
    <row r="152" spans="1:18" x14ac:dyDescent="0.3">
      <c r="A152" t="s">
        <v>165</v>
      </c>
      <c r="B152" s="2">
        <v>45143</v>
      </c>
      <c r="C152" s="2">
        <v>45147</v>
      </c>
      <c r="D152" t="s">
        <v>1365</v>
      </c>
      <c r="E152" t="s">
        <v>1375</v>
      </c>
      <c r="F152" t="s">
        <v>1704</v>
      </c>
      <c r="G152" t="s">
        <v>1387</v>
      </c>
      <c r="H152" t="s">
        <v>1389</v>
      </c>
      <c r="I152" t="s">
        <v>1392</v>
      </c>
      <c r="J152" t="s">
        <v>1395</v>
      </c>
      <c r="K152" t="s">
        <v>1525</v>
      </c>
      <c r="L152">
        <v>1030.25</v>
      </c>
      <c r="M152">
        <v>7</v>
      </c>
      <c r="N152">
        <v>0.2</v>
      </c>
      <c r="O152">
        <v>59.38</v>
      </c>
      <c r="P152">
        <v>147.17859999999999</v>
      </c>
      <c r="Q152">
        <f>Table1_2[[#This Row],[Ship Date]]-Table1_2[[#This Row],[order date]]</f>
        <v>4</v>
      </c>
      <c r="R152" s="3">
        <f>Table1_2[[#This Row],[Profit]]/Table1_2[[#This Row],[Sales]]</f>
        <v>5.7636495996117448E-2</v>
      </c>
    </row>
    <row r="153" spans="1:18" hidden="1" x14ac:dyDescent="0.3">
      <c r="A153" t="s">
        <v>166</v>
      </c>
      <c r="B153" s="2">
        <v>44904</v>
      </c>
      <c r="C153" s="2">
        <v>44817</v>
      </c>
      <c r="D153" t="s">
        <v>1359</v>
      </c>
      <c r="E153" t="s">
        <v>1376</v>
      </c>
      <c r="F153" t="s">
        <v>1379</v>
      </c>
      <c r="G153" t="s">
        <v>1382</v>
      </c>
      <c r="H153" t="s">
        <v>1390</v>
      </c>
      <c r="I153" t="s">
        <v>1394</v>
      </c>
      <c r="J153" t="s">
        <v>1403</v>
      </c>
      <c r="K153" t="s">
        <v>1421</v>
      </c>
      <c r="L153">
        <v>297.92</v>
      </c>
      <c r="M153">
        <v>5</v>
      </c>
      <c r="N153">
        <v>0.15</v>
      </c>
      <c r="O153">
        <v>-14.61</v>
      </c>
      <c r="P153">
        <v>59.584000000000003</v>
      </c>
      <c r="Q153">
        <f>Table1_2[[#This Row],[Ship Date]]-Table1_2[[#This Row],[order date]]</f>
        <v>-87</v>
      </c>
      <c r="R153">
        <f>Table1_2[[#This Row],[Profit]]/Table1_2[[#This Row],[Sales]]</f>
        <v>-4.9040010741138555E-2</v>
      </c>
    </row>
    <row r="154" spans="1:18" hidden="1" x14ac:dyDescent="0.3">
      <c r="A154" t="s">
        <v>167</v>
      </c>
      <c r="B154" s="2"/>
      <c r="C154" s="2">
        <v>45247</v>
      </c>
      <c r="D154" t="s">
        <v>1372</v>
      </c>
      <c r="E154" t="s">
        <v>1374</v>
      </c>
      <c r="F154" t="s">
        <v>1704</v>
      </c>
      <c r="G154" t="s">
        <v>1387</v>
      </c>
      <c r="H154" t="s">
        <v>1390</v>
      </c>
      <c r="I154" t="s">
        <v>1394</v>
      </c>
      <c r="J154" t="s">
        <v>1403</v>
      </c>
      <c r="K154" t="s">
        <v>1526</v>
      </c>
      <c r="L154">
        <v>208.47</v>
      </c>
      <c r="M154">
        <v>9</v>
      </c>
      <c r="N154">
        <v>0.15</v>
      </c>
      <c r="O154">
        <v>30.26</v>
      </c>
      <c r="P154">
        <v>23.1633</v>
      </c>
      <c r="Q154">
        <f>Table1_2[[#This Row],[Ship Date]]-Table1_2[[#This Row],[order date]]</f>
        <v>45247</v>
      </c>
      <c r="R154">
        <f>Table1_2[[#This Row],[Profit]]/Table1_2[[#This Row],[Sales]]</f>
        <v>0.14515277977646665</v>
      </c>
    </row>
    <row r="155" spans="1:18" x14ac:dyDescent="0.3">
      <c r="A155" t="s">
        <v>168</v>
      </c>
      <c r="B155" s="2">
        <v>44718</v>
      </c>
      <c r="C155" s="2">
        <v>44726</v>
      </c>
      <c r="D155" t="s">
        <v>1363</v>
      </c>
      <c r="E155" t="s">
        <v>1374</v>
      </c>
      <c r="F155" t="s">
        <v>1379</v>
      </c>
      <c r="G155" t="s">
        <v>1383</v>
      </c>
      <c r="H155" t="s">
        <v>1389</v>
      </c>
      <c r="I155" t="s">
        <v>1393</v>
      </c>
      <c r="J155" t="s">
        <v>1396</v>
      </c>
      <c r="K155" t="s">
        <v>1527</v>
      </c>
      <c r="L155">
        <v>460.88</v>
      </c>
      <c r="M155">
        <v>9</v>
      </c>
      <c r="N155">
        <v>0.2</v>
      </c>
      <c r="O155">
        <v>82.35</v>
      </c>
      <c r="P155">
        <v>51.2089</v>
      </c>
      <c r="Q155">
        <f>Table1_2[[#This Row],[Ship Date]]-Table1_2[[#This Row],[order date]]</f>
        <v>8</v>
      </c>
      <c r="R155" s="3">
        <f>Table1_2[[#This Row],[Profit]]/Table1_2[[#This Row],[Sales]]</f>
        <v>0.17867991668113173</v>
      </c>
    </row>
    <row r="156" spans="1:18" hidden="1" x14ac:dyDescent="0.3">
      <c r="A156" t="s">
        <v>169</v>
      </c>
      <c r="B156" s="2"/>
      <c r="C156" s="2">
        <v>45288</v>
      </c>
      <c r="D156" t="s">
        <v>1363</v>
      </c>
      <c r="E156" t="s">
        <v>1376</v>
      </c>
      <c r="F156" t="s">
        <v>1704</v>
      </c>
      <c r="G156" t="s">
        <v>1381</v>
      </c>
      <c r="H156" t="s">
        <v>1390</v>
      </c>
      <c r="I156" t="s">
        <v>1392</v>
      </c>
      <c r="J156" t="s">
        <v>1395</v>
      </c>
      <c r="K156" t="s">
        <v>1528</v>
      </c>
      <c r="L156">
        <v>152.41</v>
      </c>
      <c r="M156">
        <v>9</v>
      </c>
      <c r="N156">
        <v>0</v>
      </c>
      <c r="O156">
        <v>-15.08</v>
      </c>
      <c r="P156">
        <v>16.9344</v>
      </c>
      <c r="Q156">
        <f>Table1_2[[#This Row],[Ship Date]]-Table1_2[[#This Row],[order date]]</f>
        <v>45288</v>
      </c>
      <c r="R156">
        <f>Table1_2[[#This Row],[Profit]]/Table1_2[[#This Row],[Sales]]</f>
        <v>-9.8943638868840625E-2</v>
      </c>
    </row>
    <row r="157" spans="1:18" x14ac:dyDescent="0.3">
      <c r="A157" t="s">
        <v>170</v>
      </c>
      <c r="B157" s="2">
        <v>45159</v>
      </c>
      <c r="C157" s="2">
        <v>45167</v>
      </c>
      <c r="D157" t="s">
        <v>1365</v>
      </c>
      <c r="E157" t="s">
        <v>1375</v>
      </c>
      <c r="F157" t="s">
        <v>1704</v>
      </c>
      <c r="G157" t="s">
        <v>1382</v>
      </c>
      <c r="H157" t="s">
        <v>1391</v>
      </c>
      <c r="I157" t="s">
        <v>1392</v>
      </c>
      <c r="J157" t="s">
        <v>1395</v>
      </c>
      <c r="K157" t="s">
        <v>1412</v>
      </c>
      <c r="L157">
        <v>545.66999999999996</v>
      </c>
      <c r="M157">
        <v>1</v>
      </c>
      <c r="N157">
        <v>0.2</v>
      </c>
      <c r="O157">
        <v>-73.13</v>
      </c>
      <c r="P157">
        <v>545.66999999999996</v>
      </c>
      <c r="Q157">
        <f>Table1_2[[#This Row],[Ship Date]]-Table1_2[[#This Row],[order date]]</f>
        <v>8</v>
      </c>
      <c r="R157" s="3">
        <f>Table1_2[[#This Row],[Profit]]/Table1_2[[#This Row],[Sales]]</f>
        <v>-0.13401872926860556</v>
      </c>
    </row>
    <row r="158" spans="1:18" x14ac:dyDescent="0.3">
      <c r="A158" t="s">
        <v>171</v>
      </c>
      <c r="B158" s="2">
        <v>44584</v>
      </c>
      <c r="C158" s="2">
        <v>44591</v>
      </c>
      <c r="D158" t="s">
        <v>1361</v>
      </c>
      <c r="E158" t="s">
        <v>1375</v>
      </c>
      <c r="F158" t="s">
        <v>1379</v>
      </c>
      <c r="G158" t="s">
        <v>1385</v>
      </c>
      <c r="H158" t="s">
        <v>1388</v>
      </c>
      <c r="I158" t="s">
        <v>1394</v>
      </c>
      <c r="J158" t="s">
        <v>1402</v>
      </c>
      <c r="K158" t="s">
        <v>1529</v>
      </c>
      <c r="L158">
        <v>900.05</v>
      </c>
      <c r="M158">
        <v>10</v>
      </c>
      <c r="N158">
        <v>0</v>
      </c>
      <c r="O158">
        <v>-159.63</v>
      </c>
      <c r="P158">
        <v>90.004999999999995</v>
      </c>
      <c r="Q158">
        <f>Table1_2[[#This Row],[Ship Date]]-Table1_2[[#This Row],[order date]]</f>
        <v>7</v>
      </c>
      <c r="R158" s="3">
        <f>Table1_2[[#This Row],[Profit]]/Table1_2[[#This Row],[Sales]]</f>
        <v>-0.17735681351036053</v>
      </c>
    </row>
    <row r="159" spans="1:18" x14ac:dyDescent="0.3">
      <c r="A159" t="s">
        <v>172</v>
      </c>
      <c r="B159" s="2">
        <v>44980</v>
      </c>
      <c r="C159" s="2">
        <v>44983</v>
      </c>
      <c r="D159" t="s">
        <v>1373</v>
      </c>
      <c r="E159" t="s">
        <v>1376</v>
      </c>
      <c r="F159" t="s">
        <v>1379</v>
      </c>
      <c r="G159" t="s">
        <v>1382</v>
      </c>
      <c r="H159" t="s">
        <v>1390</v>
      </c>
      <c r="I159" t="s">
        <v>1392</v>
      </c>
      <c r="J159" t="s">
        <v>1395</v>
      </c>
      <c r="K159" t="s">
        <v>1530</v>
      </c>
      <c r="L159">
        <v>1174.43</v>
      </c>
      <c r="M159">
        <v>7</v>
      </c>
      <c r="N159">
        <v>0.15</v>
      </c>
      <c r="O159">
        <v>348.13</v>
      </c>
      <c r="P159">
        <v>167.7757</v>
      </c>
      <c r="Q159">
        <f>Table1_2[[#This Row],[Ship Date]]-Table1_2[[#This Row],[order date]]</f>
        <v>3</v>
      </c>
      <c r="R159" s="3">
        <f>Table1_2[[#This Row],[Profit]]/Table1_2[[#This Row],[Sales]]</f>
        <v>0.296424648552915</v>
      </c>
    </row>
    <row r="160" spans="1:18" x14ac:dyDescent="0.3">
      <c r="A160" t="s">
        <v>173</v>
      </c>
      <c r="B160" s="2">
        <v>45442</v>
      </c>
      <c r="C160" s="2">
        <v>45448</v>
      </c>
      <c r="D160" t="s">
        <v>1369</v>
      </c>
      <c r="E160" t="s">
        <v>1376</v>
      </c>
      <c r="F160" t="s">
        <v>1704</v>
      </c>
      <c r="G160" t="s">
        <v>1382</v>
      </c>
      <c r="H160" t="s">
        <v>1389</v>
      </c>
      <c r="I160" t="s">
        <v>1392</v>
      </c>
      <c r="J160" t="s">
        <v>1401</v>
      </c>
      <c r="K160" t="s">
        <v>1531</v>
      </c>
      <c r="L160">
        <v>1191.56</v>
      </c>
      <c r="M160">
        <v>7</v>
      </c>
      <c r="N160">
        <v>0</v>
      </c>
      <c r="O160">
        <v>-162.44</v>
      </c>
      <c r="P160">
        <v>170.22290000000001</v>
      </c>
      <c r="Q160">
        <f>Table1_2[[#This Row],[Ship Date]]-Table1_2[[#This Row],[order date]]</f>
        <v>6</v>
      </c>
      <c r="R160" s="3">
        <f>Table1_2[[#This Row],[Profit]]/Table1_2[[#This Row],[Sales]]</f>
        <v>-0.13632548927456445</v>
      </c>
    </row>
    <row r="161" spans="1:18" hidden="1" x14ac:dyDescent="0.3">
      <c r="A161" t="s">
        <v>174</v>
      </c>
      <c r="B161" s="2"/>
      <c r="C161" s="2">
        <v>44954</v>
      </c>
      <c r="D161" t="s">
        <v>1369</v>
      </c>
      <c r="E161" t="s">
        <v>1374</v>
      </c>
      <c r="F161" t="s">
        <v>1704</v>
      </c>
      <c r="G161" t="s">
        <v>1383</v>
      </c>
      <c r="H161" t="s">
        <v>1388</v>
      </c>
      <c r="I161" t="s">
        <v>1392</v>
      </c>
      <c r="J161" t="s">
        <v>1397</v>
      </c>
      <c r="K161" t="s">
        <v>1532</v>
      </c>
      <c r="L161">
        <v>428.47</v>
      </c>
      <c r="M161">
        <v>5</v>
      </c>
      <c r="N161">
        <v>0.1</v>
      </c>
      <c r="O161">
        <v>115.13</v>
      </c>
      <c r="P161">
        <v>85.694000000000003</v>
      </c>
      <c r="Q161">
        <f>Table1_2[[#This Row],[Ship Date]]-Table1_2[[#This Row],[order date]]</f>
        <v>44954</v>
      </c>
      <c r="R161">
        <f>Table1_2[[#This Row],[Profit]]/Table1_2[[#This Row],[Sales]]</f>
        <v>0.26870025906131118</v>
      </c>
    </row>
    <row r="162" spans="1:18" x14ac:dyDescent="0.3">
      <c r="A162" t="s">
        <v>175</v>
      </c>
      <c r="B162" s="2">
        <v>44773</v>
      </c>
      <c r="C162" s="2">
        <v>44775</v>
      </c>
      <c r="D162" t="s">
        <v>1373</v>
      </c>
      <c r="E162" t="s">
        <v>1375</v>
      </c>
      <c r="F162" t="s">
        <v>1704</v>
      </c>
      <c r="G162" t="s">
        <v>1386</v>
      </c>
      <c r="H162" t="s">
        <v>1388</v>
      </c>
      <c r="I162" t="s">
        <v>1392</v>
      </c>
      <c r="J162" t="s">
        <v>1395</v>
      </c>
      <c r="K162" t="s">
        <v>1495</v>
      </c>
      <c r="L162">
        <v>59.62</v>
      </c>
      <c r="M162">
        <v>10</v>
      </c>
      <c r="N162">
        <v>0</v>
      </c>
      <c r="O162">
        <v>-4.63</v>
      </c>
      <c r="P162">
        <v>5.9619999999999997</v>
      </c>
      <c r="Q162">
        <f>Table1_2[[#This Row],[Ship Date]]-Table1_2[[#This Row],[order date]]</f>
        <v>2</v>
      </c>
      <c r="R162" s="3">
        <f>Table1_2[[#This Row],[Profit]]/Table1_2[[#This Row],[Sales]]</f>
        <v>-7.7658503857765848E-2</v>
      </c>
    </row>
    <row r="163" spans="1:18" x14ac:dyDescent="0.3">
      <c r="A163" t="s">
        <v>176</v>
      </c>
      <c r="B163" s="2">
        <v>45077</v>
      </c>
      <c r="C163" s="2">
        <v>45082</v>
      </c>
      <c r="D163" t="s">
        <v>1368</v>
      </c>
      <c r="E163" t="s">
        <v>1375</v>
      </c>
      <c r="F163" t="s">
        <v>1704</v>
      </c>
      <c r="G163" t="s">
        <v>1385</v>
      </c>
      <c r="H163" t="s">
        <v>1391</v>
      </c>
      <c r="I163" t="s">
        <v>1392</v>
      </c>
      <c r="J163" t="s">
        <v>1395</v>
      </c>
      <c r="K163" t="s">
        <v>1475</v>
      </c>
      <c r="L163">
        <v>699.81</v>
      </c>
      <c r="M163">
        <v>10</v>
      </c>
      <c r="N163">
        <v>0</v>
      </c>
      <c r="O163">
        <v>130.35</v>
      </c>
      <c r="P163">
        <v>69.980999999999995</v>
      </c>
      <c r="Q163">
        <f>Table1_2[[#This Row],[Ship Date]]-Table1_2[[#This Row],[order date]]</f>
        <v>5</v>
      </c>
      <c r="R163" s="3">
        <f>Table1_2[[#This Row],[Profit]]/Table1_2[[#This Row],[Sales]]</f>
        <v>0.18626484331461396</v>
      </c>
    </row>
    <row r="164" spans="1:18" x14ac:dyDescent="0.3">
      <c r="A164" t="s">
        <v>177</v>
      </c>
      <c r="B164" s="2">
        <v>44624</v>
      </c>
      <c r="C164" s="2">
        <v>44633</v>
      </c>
      <c r="D164" t="s">
        <v>1365</v>
      </c>
      <c r="E164" t="s">
        <v>1376</v>
      </c>
      <c r="F164" t="s">
        <v>1704</v>
      </c>
      <c r="G164" t="s">
        <v>1385</v>
      </c>
      <c r="H164" t="s">
        <v>1390</v>
      </c>
      <c r="I164" t="s">
        <v>1393</v>
      </c>
      <c r="J164" t="s">
        <v>1396</v>
      </c>
      <c r="K164" t="s">
        <v>1533</v>
      </c>
      <c r="L164">
        <v>1095.6600000000001</v>
      </c>
      <c r="M164">
        <v>7</v>
      </c>
      <c r="N164">
        <v>0</v>
      </c>
      <c r="O164">
        <v>52.38</v>
      </c>
      <c r="P164">
        <v>156.52289999999999</v>
      </c>
      <c r="Q164">
        <f>Table1_2[[#This Row],[Ship Date]]-Table1_2[[#This Row],[order date]]</f>
        <v>9</v>
      </c>
      <c r="R164" s="3">
        <f>Table1_2[[#This Row],[Profit]]/Table1_2[[#This Row],[Sales]]</f>
        <v>4.780680137999014E-2</v>
      </c>
    </row>
    <row r="165" spans="1:18" x14ac:dyDescent="0.3">
      <c r="A165" t="s">
        <v>178</v>
      </c>
      <c r="B165" s="2">
        <v>44947</v>
      </c>
      <c r="C165" s="2">
        <v>44950</v>
      </c>
      <c r="D165" t="s">
        <v>1367</v>
      </c>
      <c r="E165" t="s">
        <v>1374</v>
      </c>
      <c r="F165" t="s">
        <v>1704</v>
      </c>
      <c r="G165" t="s">
        <v>1385</v>
      </c>
      <c r="H165" t="s">
        <v>1390</v>
      </c>
      <c r="I165" t="s">
        <v>1393</v>
      </c>
      <c r="J165" t="s">
        <v>1399</v>
      </c>
      <c r="K165" t="s">
        <v>1474</v>
      </c>
      <c r="L165">
        <v>304.33999999999997</v>
      </c>
      <c r="M165">
        <v>4</v>
      </c>
      <c r="N165">
        <v>0.15</v>
      </c>
      <c r="O165">
        <v>69.62</v>
      </c>
      <c r="P165">
        <v>76.084999999999994</v>
      </c>
      <c r="Q165">
        <f>Table1_2[[#This Row],[Ship Date]]-Table1_2[[#This Row],[order date]]</f>
        <v>3</v>
      </c>
      <c r="R165" s="3">
        <f>Table1_2[[#This Row],[Profit]]/Table1_2[[#This Row],[Sales]]</f>
        <v>0.22875731090228038</v>
      </c>
    </row>
    <row r="166" spans="1:18" x14ac:dyDescent="0.3">
      <c r="A166" t="s">
        <v>179</v>
      </c>
      <c r="B166" s="2">
        <v>44721</v>
      </c>
      <c r="C166" s="2">
        <v>44815</v>
      </c>
      <c r="D166" t="s">
        <v>1363</v>
      </c>
      <c r="E166" t="s">
        <v>1376</v>
      </c>
      <c r="F166" t="s">
        <v>1704</v>
      </c>
      <c r="G166" t="s">
        <v>1382</v>
      </c>
      <c r="H166" t="s">
        <v>1388</v>
      </c>
      <c r="I166" t="s">
        <v>1392</v>
      </c>
      <c r="J166" t="s">
        <v>1397</v>
      </c>
      <c r="K166" t="s">
        <v>1534</v>
      </c>
      <c r="L166">
        <v>783.11</v>
      </c>
      <c r="M166">
        <v>8</v>
      </c>
      <c r="N166">
        <v>0.15</v>
      </c>
      <c r="O166">
        <v>-120.42</v>
      </c>
      <c r="P166">
        <v>97.888800000000003</v>
      </c>
      <c r="Q166">
        <f>Table1_2[[#This Row],[Ship Date]]-Table1_2[[#This Row],[order date]]</f>
        <v>94</v>
      </c>
      <c r="R166" s="3">
        <f>Table1_2[[#This Row],[Profit]]/Table1_2[[#This Row],[Sales]]</f>
        <v>-0.15377150081086949</v>
      </c>
    </row>
    <row r="167" spans="1:18" x14ac:dyDescent="0.3">
      <c r="A167" t="s">
        <v>180</v>
      </c>
      <c r="B167" s="2">
        <v>44754</v>
      </c>
      <c r="C167" s="2">
        <v>44764</v>
      </c>
      <c r="D167" t="s">
        <v>1371</v>
      </c>
      <c r="E167" t="s">
        <v>1375</v>
      </c>
      <c r="F167" t="s">
        <v>1704</v>
      </c>
      <c r="G167" t="s">
        <v>1382</v>
      </c>
      <c r="H167" t="s">
        <v>1388</v>
      </c>
      <c r="I167" t="s">
        <v>1393</v>
      </c>
      <c r="J167" t="s">
        <v>1396</v>
      </c>
      <c r="K167" t="s">
        <v>1535</v>
      </c>
      <c r="L167">
        <v>679.44</v>
      </c>
      <c r="M167">
        <v>8</v>
      </c>
      <c r="N167">
        <v>0.1</v>
      </c>
      <c r="O167">
        <v>159.49</v>
      </c>
      <c r="P167">
        <v>84.93</v>
      </c>
      <c r="Q167">
        <f>Table1_2[[#This Row],[Ship Date]]-Table1_2[[#This Row],[order date]]</f>
        <v>10</v>
      </c>
      <c r="R167" s="3">
        <f>Table1_2[[#This Row],[Profit]]/Table1_2[[#This Row],[Sales]]</f>
        <v>0.23473743082538562</v>
      </c>
    </row>
    <row r="168" spans="1:18" hidden="1" x14ac:dyDescent="0.3">
      <c r="A168" t="s">
        <v>181</v>
      </c>
      <c r="B168" s="2">
        <v>45628</v>
      </c>
      <c r="C168" s="2">
        <v>45342</v>
      </c>
      <c r="D168" t="s">
        <v>1372</v>
      </c>
      <c r="E168" t="s">
        <v>1376</v>
      </c>
      <c r="F168" t="s">
        <v>1704</v>
      </c>
      <c r="G168" t="s">
        <v>1383</v>
      </c>
      <c r="H168" t="s">
        <v>1391</v>
      </c>
      <c r="I168" t="s">
        <v>1392</v>
      </c>
      <c r="J168" t="s">
        <v>1395</v>
      </c>
      <c r="K168" t="s">
        <v>1496</v>
      </c>
      <c r="L168">
        <v>733.19</v>
      </c>
      <c r="M168">
        <v>4</v>
      </c>
      <c r="N168">
        <v>0.2</v>
      </c>
      <c r="O168">
        <v>188.84</v>
      </c>
      <c r="P168">
        <v>183.29750000000001</v>
      </c>
      <c r="Q168">
        <f>Table1_2[[#This Row],[Ship Date]]-Table1_2[[#This Row],[order date]]</f>
        <v>-286</v>
      </c>
      <c r="R168">
        <f>Table1_2[[#This Row],[Profit]]/Table1_2[[#This Row],[Sales]]</f>
        <v>0.25755943207081383</v>
      </c>
    </row>
    <row r="169" spans="1:18" x14ac:dyDescent="0.3">
      <c r="A169" t="s">
        <v>182</v>
      </c>
      <c r="B169" s="2">
        <v>44829</v>
      </c>
      <c r="C169" s="2">
        <v>44835</v>
      </c>
      <c r="D169" t="s">
        <v>1372</v>
      </c>
      <c r="E169" t="s">
        <v>1375</v>
      </c>
      <c r="F169" t="s">
        <v>1704</v>
      </c>
      <c r="G169" t="s">
        <v>1382</v>
      </c>
      <c r="H169" t="s">
        <v>1390</v>
      </c>
      <c r="I169" t="s">
        <v>1393</v>
      </c>
      <c r="J169" t="s">
        <v>1399</v>
      </c>
      <c r="K169" t="s">
        <v>1536</v>
      </c>
      <c r="L169">
        <v>569.88</v>
      </c>
      <c r="M169">
        <v>8</v>
      </c>
      <c r="N169">
        <v>0.15</v>
      </c>
      <c r="O169">
        <v>146.55000000000001</v>
      </c>
      <c r="P169">
        <v>71.234999999999999</v>
      </c>
      <c r="Q169">
        <f>Table1_2[[#This Row],[Ship Date]]-Table1_2[[#This Row],[order date]]</f>
        <v>6</v>
      </c>
      <c r="R169" s="3">
        <f>Table1_2[[#This Row],[Profit]]/Table1_2[[#This Row],[Sales]]</f>
        <v>0.2571594019793641</v>
      </c>
    </row>
    <row r="170" spans="1:18" x14ac:dyDescent="0.3">
      <c r="A170" t="s">
        <v>183</v>
      </c>
      <c r="B170" s="2">
        <v>44829</v>
      </c>
      <c r="C170" s="2">
        <v>44838</v>
      </c>
      <c r="D170" t="s">
        <v>1365</v>
      </c>
      <c r="E170" t="s">
        <v>1375</v>
      </c>
      <c r="F170" t="s">
        <v>1704</v>
      </c>
      <c r="G170" t="s">
        <v>1383</v>
      </c>
      <c r="H170" t="s">
        <v>1391</v>
      </c>
      <c r="I170" t="s">
        <v>1393</v>
      </c>
      <c r="J170" t="s">
        <v>1396</v>
      </c>
      <c r="K170" t="s">
        <v>1537</v>
      </c>
      <c r="L170">
        <v>869.61</v>
      </c>
      <c r="M170">
        <v>5</v>
      </c>
      <c r="N170">
        <v>0.1</v>
      </c>
      <c r="O170">
        <v>-88.62</v>
      </c>
      <c r="P170">
        <v>173.922</v>
      </c>
      <c r="Q170">
        <f>Table1_2[[#This Row],[Ship Date]]-Table1_2[[#This Row],[order date]]</f>
        <v>9</v>
      </c>
      <c r="R170" s="3">
        <f>Table1_2[[#This Row],[Profit]]/Table1_2[[#This Row],[Sales]]</f>
        <v>-0.10190775175078484</v>
      </c>
    </row>
    <row r="171" spans="1:18" x14ac:dyDescent="0.3">
      <c r="A171" t="s">
        <v>184</v>
      </c>
      <c r="B171" s="2">
        <v>45343</v>
      </c>
      <c r="C171" s="2">
        <v>45351</v>
      </c>
      <c r="D171" t="s">
        <v>1363</v>
      </c>
      <c r="E171" t="s">
        <v>1374</v>
      </c>
      <c r="F171" t="s">
        <v>1704</v>
      </c>
      <c r="G171" t="s">
        <v>1387</v>
      </c>
      <c r="H171" t="s">
        <v>1388</v>
      </c>
      <c r="I171" t="s">
        <v>1393</v>
      </c>
      <c r="J171" t="s">
        <v>1396</v>
      </c>
      <c r="K171" t="s">
        <v>1527</v>
      </c>
      <c r="L171">
        <v>892.72</v>
      </c>
      <c r="M171">
        <v>8</v>
      </c>
      <c r="N171">
        <v>0.1</v>
      </c>
      <c r="O171">
        <v>148.54</v>
      </c>
      <c r="P171">
        <v>111.59</v>
      </c>
      <c r="Q171">
        <f>Table1_2[[#This Row],[Ship Date]]-Table1_2[[#This Row],[order date]]</f>
        <v>8</v>
      </c>
      <c r="R171" s="3">
        <f>Table1_2[[#This Row],[Profit]]/Table1_2[[#This Row],[Sales]]</f>
        <v>0.16639035755892104</v>
      </c>
    </row>
    <row r="172" spans="1:18" x14ac:dyDescent="0.3">
      <c r="A172" t="s">
        <v>185</v>
      </c>
      <c r="B172" s="2">
        <v>44596</v>
      </c>
      <c r="C172" s="2">
        <v>44598</v>
      </c>
      <c r="D172" t="s">
        <v>1361</v>
      </c>
      <c r="E172" t="s">
        <v>1375</v>
      </c>
      <c r="F172" t="s">
        <v>1379</v>
      </c>
      <c r="G172" t="s">
        <v>1387</v>
      </c>
      <c r="H172" t="s">
        <v>1389</v>
      </c>
      <c r="I172" t="s">
        <v>1393</v>
      </c>
      <c r="J172" t="s">
        <v>1400</v>
      </c>
      <c r="K172" t="s">
        <v>1445</v>
      </c>
      <c r="L172">
        <v>921.92</v>
      </c>
      <c r="M172">
        <v>7</v>
      </c>
      <c r="N172">
        <v>0.1</v>
      </c>
      <c r="O172">
        <v>204</v>
      </c>
      <c r="P172">
        <v>131.7029</v>
      </c>
      <c r="Q172">
        <f>Table1_2[[#This Row],[Ship Date]]-Table1_2[[#This Row],[order date]]</f>
        <v>2</v>
      </c>
      <c r="R172" s="3">
        <f>Table1_2[[#This Row],[Profit]]/Table1_2[[#This Row],[Sales]]</f>
        <v>0.22127733425893789</v>
      </c>
    </row>
    <row r="173" spans="1:18" x14ac:dyDescent="0.3">
      <c r="A173" t="s">
        <v>186</v>
      </c>
      <c r="B173" s="2">
        <v>44623</v>
      </c>
      <c r="C173" s="2">
        <v>44633</v>
      </c>
      <c r="D173" t="s">
        <v>1360</v>
      </c>
      <c r="E173" t="s">
        <v>1375</v>
      </c>
      <c r="F173" t="s">
        <v>1379</v>
      </c>
      <c r="G173" t="s">
        <v>1383</v>
      </c>
      <c r="H173" t="s">
        <v>1391</v>
      </c>
      <c r="I173" t="s">
        <v>1393</v>
      </c>
      <c r="J173" t="s">
        <v>1396</v>
      </c>
      <c r="K173" t="s">
        <v>1538</v>
      </c>
      <c r="L173">
        <v>1122.01</v>
      </c>
      <c r="M173">
        <v>8</v>
      </c>
      <c r="N173">
        <v>0.2</v>
      </c>
      <c r="O173">
        <v>-215.58</v>
      </c>
      <c r="P173">
        <v>140.25120000000001</v>
      </c>
      <c r="Q173">
        <f>Table1_2[[#This Row],[Ship Date]]-Table1_2[[#This Row],[order date]]</f>
        <v>10</v>
      </c>
      <c r="R173" s="3">
        <f>Table1_2[[#This Row],[Profit]]/Table1_2[[#This Row],[Sales]]</f>
        <v>-0.19213732497927827</v>
      </c>
    </row>
    <row r="174" spans="1:18" hidden="1" x14ac:dyDescent="0.3">
      <c r="A174" t="s">
        <v>187</v>
      </c>
      <c r="B174" s="2"/>
      <c r="C174" s="2">
        <v>44856</v>
      </c>
      <c r="D174" t="s">
        <v>1363</v>
      </c>
      <c r="E174" t="s">
        <v>1375</v>
      </c>
      <c r="F174" t="s">
        <v>1379</v>
      </c>
      <c r="G174" t="s">
        <v>1386</v>
      </c>
      <c r="H174" t="s">
        <v>1391</v>
      </c>
      <c r="I174" t="s">
        <v>1393</v>
      </c>
      <c r="J174" t="s">
        <v>1396</v>
      </c>
      <c r="K174" t="s">
        <v>1539</v>
      </c>
      <c r="L174">
        <v>815.36</v>
      </c>
      <c r="M174">
        <v>3</v>
      </c>
      <c r="N174">
        <v>0</v>
      </c>
      <c r="O174">
        <v>211.2</v>
      </c>
      <c r="P174">
        <v>271.7867</v>
      </c>
      <c r="Q174">
        <f>Table1_2[[#This Row],[Ship Date]]-Table1_2[[#This Row],[order date]]</f>
        <v>44856</v>
      </c>
      <c r="R174">
        <f>Table1_2[[#This Row],[Profit]]/Table1_2[[#This Row],[Sales]]</f>
        <v>0.25902668759811615</v>
      </c>
    </row>
    <row r="175" spans="1:18" hidden="1" x14ac:dyDescent="0.3">
      <c r="A175" t="s">
        <v>188</v>
      </c>
      <c r="B175" s="2"/>
      <c r="C175" s="2">
        <v>45383</v>
      </c>
      <c r="D175" t="s">
        <v>1368</v>
      </c>
      <c r="E175" t="s">
        <v>1374</v>
      </c>
      <c r="F175" t="s">
        <v>1379</v>
      </c>
      <c r="G175" t="s">
        <v>1382</v>
      </c>
      <c r="H175" t="s">
        <v>1388</v>
      </c>
      <c r="I175" t="s">
        <v>1392</v>
      </c>
      <c r="J175" t="s">
        <v>1397</v>
      </c>
      <c r="K175" t="s">
        <v>1498</v>
      </c>
      <c r="L175">
        <v>1151.97</v>
      </c>
      <c r="M175">
        <v>8</v>
      </c>
      <c r="N175">
        <v>0</v>
      </c>
      <c r="O175">
        <v>-90.31</v>
      </c>
      <c r="P175">
        <v>143.99629999999999</v>
      </c>
      <c r="Q175">
        <f>Table1_2[[#This Row],[Ship Date]]-Table1_2[[#This Row],[order date]]</f>
        <v>45383</v>
      </c>
      <c r="R175">
        <f>Table1_2[[#This Row],[Profit]]/Table1_2[[#This Row],[Sales]]</f>
        <v>-7.8396138788336497E-2</v>
      </c>
    </row>
    <row r="176" spans="1:18" x14ac:dyDescent="0.3">
      <c r="A176" t="s">
        <v>189</v>
      </c>
      <c r="B176" s="2">
        <v>44977</v>
      </c>
      <c r="C176" s="2">
        <v>44984</v>
      </c>
      <c r="D176" t="s">
        <v>1362</v>
      </c>
      <c r="E176" t="s">
        <v>1375</v>
      </c>
      <c r="F176" t="s">
        <v>1379</v>
      </c>
      <c r="G176" t="s">
        <v>1387</v>
      </c>
      <c r="H176" t="s">
        <v>1390</v>
      </c>
      <c r="I176" t="s">
        <v>1394</v>
      </c>
      <c r="J176" t="s">
        <v>1398</v>
      </c>
      <c r="K176" t="s">
        <v>1470</v>
      </c>
      <c r="L176">
        <v>581.69000000000005</v>
      </c>
      <c r="M176">
        <v>1</v>
      </c>
      <c r="N176">
        <v>0.1</v>
      </c>
      <c r="O176">
        <v>-92.29</v>
      </c>
      <c r="P176">
        <v>581.69000000000005</v>
      </c>
      <c r="Q176">
        <f>Table1_2[[#This Row],[Ship Date]]-Table1_2[[#This Row],[order date]]</f>
        <v>7</v>
      </c>
      <c r="R176" s="3">
        <f>Table1_2[[#This Row],[Profit]]/Table1_2[[#This Row],[Sales]]</f>
        <v>-0.1586583919269714</v>
      </c>
    </row>
    <row r="177" spans="1:18" x14ac:dyDescent="0.3">
      <c r="A177" t="s">
        <v>190</v>
      </c>
      <c r="B177" s="2">
        <v>45142</v>
      </c>
      <c r="C177" s="2">
        <v>45150</v>
      </c>
      <c r="D177" t="s">
        <v>1368</v>
      </c>
      <c r="E177" t="s">
        <v>1375</v>
      </c>
      <c r="F177" t="s">
        <v>1704</v>
      </c>
      <c r="G177" t="s">
        <v>1383</v>
      </c>
      <c r="H177" t="s">
        <v>1390</v>
      </c>
      <c r="I177" t="s">
        <v>1394</v>
      </c>
      <c r="J177" t="s">
        <v>1402</v>
      </c>
      <c r="K177" t="s">
        <v>1540</v>
      </c>
      <c r="L177">
        <v>1110.51</v>
      </c>
      <c r="M177">
        <v>5</v>
      </c>
      <c r="N177">
        <v>0</v>
      </c>
      <c r="O177">
        <v>90.79</v>
      </c>
      <c r="P177">
        <v>222.102</v>
      </c>
      <c r="Q177">
        <f>Table1_2[[#This Row],[Ship Date]]-Table1_2[[#This Row],[order date]]</f>
        <v>8</v>
      </c>
      <c r="R177" s="3">
        <f>Table1_2[[#This Row],[Profit]]/Table1_2[[#This Row],[Sales]]</f>
        <v>8.1755229579202351E-2</v>
      </c>
    </row>
    <row r="178" spans="1:18" x14ac:dyDescent="0.3">
      <c r="A178" t="s">
        <v>191</v>
      </c>
      <c r="B178" s="2">
        <v>45402</v>
      </c>
      <c r="C178" s="2">
        <v>45409</v>
      </c>
      <c r="D178" t="s">
        <v>1360</v>
      </c>
      <c r="E178" t="s">
        <v>1376</v>
      </c>
      <c r="F178" t="s">
        <v>1704</v>
      </c>
      <c r="G178" t="s">
        <v>1386</v>
      </c>
      <c r="H178" t="s">
        <v>1388</v>
      </c>
      <c r="I178" t="s">
        <v>1392</v>
      </c>
      <c r="J178" t="s">
        <v>1397</v>
      </c>
      <c r="K178" t="s">
        <v>1541</v>
      </c>
      <c r="L178">
        <v>211.69</v>
      </c>
      <c r="M178">
        <v>4</v>
      </c>
      <c r="N178">
        <v>0</v>
      </c>
      <c r="O178">
        <v>46.01</v>
      </c>
      <c r="P178">
        <v>52.922499999999999</v>
      </c>
      <c r="Q178">
        <f>Table1_2[[#This Row],[Ship Date]]-Table1_2[[#This Row],[order date]]</f>
        <v>7</v>
      </c>
      <c r="R178" s="3">
        <f>Table1_2[[#This Row],[Profit]]/Table1_2[[#This Row],[Sales]]</f>
        <v>0.21734611932542869</v>
      </c>
    </row>
    <row r="179" spans="1:18" hidden="1" x14ac:dyDescent="0.3">
      <c r="A179" t="s">
        <v>192</v>
      </c>
      <c r="B179" s="2">
        <v>45353</v>
      </c>
      <c r="C179" s="2">
        <v>45331</v>
      </c>
      <c r="D179" t="s">
        <v>1360</v>
      </c>
      <c r="E179" t="s">
        <v>1376</v>
      </c>
      <c r="F179" t="s">
        <v>1379</v>
      </c>
      <c r="G179" t="s">
        <v>1382</v>
      </c>
      <c r="H179" t="s">
        <v>1391</v>
      </c>
      <c r="I179" t="s">
        <v>1392</v>
      </c>
      <c r="J179" t="s">
        <v>1401</v>
      </c>
      <c r="K179" t="s">
        <v>1542</v>
      </c>
      <c r="L179">
        <v>535.76</v>
      </c>
      <c r="M179">
        <v>2</v>
      </c>
      <c r="N179">
        <v>0.15</v>
      </c>
      <c r="O179">
        <v>54.96</v>
      </c>
      <c r="P179">
        <v>267.88</v>
      </c>
      <c r="Q179">
        <f>Table1_2[[#This Row],[Ship Date]]-Table1_2[[#This Row],[order date]]</f>
        <v>-22</v>
      </c>
      <c r="R179">
        <f>Table1_2[[#This Row],[Profit]]/Table1_2[[#This Row],[Sales]]</f>
        <v>0.10258324622965508</v>
      </c>
    </row>
    <row r="180" spans="1:18" hidden="1" x14ac:dyDescent="0.3">
      <c r="A180" t="s">
        <v>193</v>
      </c>
      <c r="B180" s="2"/>
      <c r="C180" s="2">
        <v>45068</v>
      </c>
      <c r="D180" t="s">
        <v>1367</v>
      </c>
      <c r="E180" t="s">
        <v>1374</v>
      </c>
      <c r="F180" t="s">
        <v>1379</v>
      </c>
      <c r="G180" t="s">
        <v>1386</v>
      </c>
      <c r="H180" t="s">
        <v>1390</v>
      </c>
      <c r="I180" t="s">
        <v>1394</v>
      </c>
      <c r="J180" t="s">
        <v>1398</v>
      </c>
      <c r="K180" t="s">
        <v>1416</v>
      </c>
      <c r="L180">
        <v>1130.55</v>
      </c>
      <c r="M180">
        <v>7</v>
      </c>
      <c r="N180">
        <v>0.1</v>
      </c>
      <c r="O180">
        <v>158.1</v>
      </c>
      <c r="P180">
        <v>161.50710000000001</v>
      </c>
      <c r="Q180">
        <f>Table1_2[[#This Row],[Ship Date]]-Table1_2[[#This Row],[order date]]</f>
        <v>45068</v>
      </c>
      <c r="R180">
        <f>Table1_2[[#This Row],[Profit]]/Table1_2[[#This Row],[Sales]]</f>
        <v>0.13984343903409846</v>
      </c>
    </row>
    <row r="181" spans="1:18" x14ac:dyDescent="0.3">
      <c r="A181" t="s">
        <v>194</v>
      </c>
      <c r="B181" s="2">
        <v>44637</v>
      </c>
      <c r="C181" s="2">
        <v>44639</v>
      </c>
      <c r="D181" t="s">
        <v>1369</v>
      </c>
      <c r="E181" t="s">
        <v>1376</v>
      </c>
      <c r="F181" t="s">
        <v>1704</v>
      </c>
      <c r="G181" t="s">
        <v>1384</v>
      </c>
      <c r="H181" t="s">
        <v>1391</v>
      </c>
      <c r="I181" t="s">
        <v>1394</v>
      </c>
      <c r="J181" t="s">
        <v>1402</v>
      </c>
      <c r="K181" t="s">
        <v>1513</v>
      </c>
      <c r="L181">
        <v>468.4</v>
      </c>
      <c r="M181">
        <v>3</v>
      </c>
      <c r="N181">
        <v>0.2</v>
      </c>
      <c r="O181">
        <v>-19.510000000000002</v>
      </c>
      <c r="P181">
        <v>156.13329999999999</v>
      </c>
      <c r="Q181">
        <f>Table1_2[[#This Row],[Ship Date]]-Table1_2[[#This Row],[order date]]</f>
        <v>2</v>
      </c>
      <c r="R181" s="3">
        <f>Table1_2[[#This Row],[Profit]]/Table1_2[[#This Row],[Sales]]</f>
        <v>-4.1652433817250221E-2</v>
      </c>
    </row>
    <row r="182" spans="1:18" x14ac:dyDescent="0.3">
      <c r="A182" t="s">
        <v>195</v>
      </c>
      <c r="B182" s="2">
        <v>44697</v>
      </c>
      <c r="C182" s="2">
        <v>44699</v>
      </c>
      <c r="D182" t="s">
        <v>1366</v>
      </c>
      <c r="E182" t="s">
        <v>1374</v>
      </c>
      <c r="F182" t="s">
        <v>1379</v>
      </c>
      <c r="G182" t="s">
        <v>1383</v>
      </c>
      <c r="H182" t="s">
        <v>1391</v>
      </c>
      <c r="I182" t="s">
        <v>1392</v>
      </c>
      <c r="J182" t="s">
        <v>1397</v>
      </c>
      <c r="K182" t="s">
        <v>1406</v>
      </c>
      <c r="L182">
        <v>549.64</v>
      </c>
      <c r="M182">
        <v>9</v>
      </c>
      <c r="N182">
        <v>0</v>
      </c>
      <c r="O182">
        <v>2.21</v>
      </c>
      <c r="P182">
        <v>61.071100000000001</v>
      </c>
      <c r="Q182">
        <f>Table1_2[[#This Row],[Ship Date]]-Table1_2[[#This Row],[order date]]</f>
        <v>2</v>
      </c>
      <c r="R182" s="3">
        <f>Table1_2[[#This Row],[Profit]]/Table1_2[[#This Row],[Sales]]</f>
        <v>4.0208136234626303E-3</v>
      </c>
    </row>
    <row r="183" spans="1:18" x14ac:dyDescent="0.3">
      <c r="A183" t="s">
        <v>196</v>
      </c>
      <c r="B183" s="2">
        <v>44574</v>
      </c>
      <c r="C183" s="2">
        <v>44579</v>
      </c>
      <c r="D183" t="s">
        <v>1367</v>
      </c>
      <c r="E183" t="s">
        <v>1375</v>
      </c>
      <c r="F183" t="s">
        <v>1379</v>
      </c>
      <c r="G183" t="s">
        <v>1384</v>
      </c>
      <c r="H183" t="s">
        <v>1391</v>
      </c>
      <c r="I183" t="s">
        <v>1394</v>
      </c>
      <c r="J183" t="s">
        <v>1403</v>
      </c>
      <c r="K183" t="s">
        <v>1543</v>
      </c>
      <c r="L183">
        <v>939.42</v>
      </c>
      <c r="M183">
        <v>9</v>
      </c>
      <c r="N183">
        <v>0.1</v>
      </c>
      <c r="O183">
        <v>80.77</v>
      </c>
      <c r="P183">
        <v>104.38</v>
      </c>
      <c r="Q183">
        <f>Table1_2[[#This Row],[Ship Date]]-Table1_2[[#This Row],[order date]]</f>
        <v>5</v>
      </c>
      <c r="R183" s="3">
        <f>Table1_2[[#This Row],[Profit]]/Table1_2[[#This Row],[Sales]]</f>
        <v>8.597858252964595E-2</v>
      </c>
    </row>
    <row r="184" spans="1:18" x14ac:dyDescent="0.3">
      <c r="A184" t="s">
        <v>197</v>
      </c>
      <c r="B184" s="2">
        <v>44711</v>
      </c>
      <c r="C184" s="2">
        <v>44713</v>
      </c>
      <c r="D184" t="s">
        <v>1371</v>
      </c>
      <c r="E184" t="s">
        <v>1374</v>
      </c>
      <c r="F184" t="s">
        <v>1704</v>
      </c>
      <c r="G184" t="s">
        <v>1383</v>
      </c>
      <c r="H184" t="s">
        <v>1390</v>
      </c>
      <c r="I184" t="s">
        <v>1392</v>
      </c>
      <c r="J184" t="s">
        <v>1397</v>
      </c>
      <c r="K184" t="s">
        <v>1544</v>
      </c>
      <c r="L184">
        <v>345.64</v>
      </c>
      <c r="M184">
        <v>5</v>
      </c>
      <c r="N184">
        <v>0.2</v>
      </c>
      <c r="O184">
        <v>66.13</v>
      </c>
      <c r="P184">
        <v>69.128</v>
      </c>
      <c r="Q184">
        <f>Table1_2[[#This Row],[Ship Date]]-Table1_2[[#This Row],[order date]]</f>
        <v>2</v>
      </c>
      <c r="R184" s="3">
        <f>Table1_2[[#This Row],[Profit]]/Table1_2[[#This Row],[Sales]]</f>
        <v>0.19132623538942251</v>
      </c>
    </row>
    <row r="185" spans="1:18" x14ac:dyDescent="0.3">
      <c r="A185" t="s">
        <v>198</v>
      </c>
      <c r="B185" s="2">
        <v>44671</v>
      </c>
      <c r="C185" s="2">
        <v>44674</v>
      </c>
      <c r="D185" t="s">
        <v>1373</v>
      </c>
      <c r="E185" t="s">
        <v>1376</v>
      </c>
      <c r="F185" t="s">
        <v>1704</v>
      </c>
      <c r="G185" t="s">
        <v>1384</v>
      </c>
      <c r="H185" t="s">
        <v>1391</v>
      </c>
      <c r="I185" t="s">
        <v>1394</v>
      </c>
      <c r="J185" t="s">
        <v>1402</v>
      </c>
      <c r="K185" t="s">
        <v>1545</v>
      </c>
      <c r="L185">
        <v>1139.6099999999999</v>
      </c>
      <c r="M185">
        <v>6</v>
      </c>
      <c r="N185">
        <v>0</v>
      </c>
      <c r="O185">
        <v>-11.46</v>
      </c>
      <c r="P185">
        <v>189.935</v>
      </c>
      <c r="Q185">
        <f>Table1_2[[#This Row],[Ship Date]]-Table1_2[[#This Row],[order date]]</f>
        <v>3</v>
      </c>
      <c r="R185" s="3">
        <f>Table1_2[[#This Row],[Profit]]/Table1_2[[#This Row],[Sales]]</f>
        <v>-1.0056071814041648E-2</v>
      </c>
    </row>
    <row r="186" spans="1:18" hidden="1" x14ac:dyDescent="0.3">
      <c r="A186" t="s">
        <v>199</v>
      </c>
      <c r="B186" s="2"/>
      <c r="C186" s="2">
        <v>45277</v>
      </c>
      <c r="D186" t="s">
        <v>1365</v>
      </c>
      <c r="E186" t="s">
        <v>1375</v>
      </c>
      <c r="F186" t="s">
        <v>1379</v>
      </c>
      <c r="G186" t="s">
        <v>1385</v>
      </c>
      <c r="H186" t="s">
        <v>1391</v>
      </c>
      <c r="I186" t="s">
        <v>1394</v>
      </c>
      <c r="J186" t="s">
        <v>1403</v>
      </c>
      <c r="K186" t="s">
        <v>1546</v>
      </c>
      <c r="L186">
        <v>229.61</v>
      </c>
      <c r="M186">
        <v>7</v>
      </c>
      <c r="N186">
        <v>0.15</v>
      </c>
      <c r="O186">
        <v>-12.46</v>
      </c>
      <c r="P186">
        <v>32.801400000000001</v>
      </c>
      <c r="Q186">
        <f>Table1_2[[#This Row],[Ship Date]]-Table1_2[[#This Row],[order date]]</f>
        <v>45277</v>
      </c>
      <c r="R186">
        <f>Table1_2[[#This Row],[Profit]]/Table1_2[[#This Row],[Sales]]</f>
        <v>-5.4265929184268979E-2</v>
      </c>
    </row>
    <row r="187" spans="1:18" hidden="1" x14ac:dyDescent="0.3">
      <c r="A187" t="s">
        <v>200</v>
      </c>
      <c r="B187" s="2">
        <v>45170</v>
      </c>
      <c r="C187" s="2">
        <v>44937</v>
      </c>
      <c r="D187" t="s">
        <v>1361</v>
      </c>
      <c r="E187" t="s">
        <v>1376</v>
      </c>
      <c r="F187" t="s">
        <v>1704</v>
      </c>
      <c r="G187" t="s">
        <v>1385</v>
      </c>
      <c r="H187" t="s">
        <v>1391</v>
      </c>
      <c r="I187" t="s">
        <v>1393</v>
      </c>
      <c r="J187" t="s">
        <v>1400</v>
      </c>
      <c r="K187" t="s">
        <v>1547</v>
      </c>
      <c r="L187">
        <v>718.83</v>
      </c>
      <c r="M187">
        <v>9</v>
      </c>
      <c r="N187">
        <v>0.1</v>
      </c>
      <c r="O187">
        <v>101.25</v>
      </c>
      <c r="P187">
        <v>79.87</v>
      </c>
      <c r="Q187">
        <f>Table1_2[[#This Row],[Ship Date]]-Table1_2[[#This Row],[order date]]</f>
        <v>-233</v>
      </c>
      <c r="R187">
        <f>Table1_2[[#This Row],[Profit]]/Table1_2[[#This Row],[Sales]]</f>
        <v>0.14085388756729686</v>
      </c>
    </row>
    <row r="188" spans="1:18" x14ac:dyDescent="0.3">
      <c r="A188" t="s">
        <v>201</v>
      </c>
      <c r="B188" s="2">
        <v>44632</v>
      </c>
      <c r="C188" s="2">
        <v>44639</v>
      </c>
      <c r="D188" t="s">
        <v>1373</v>
      </c>
      <c r="E188" t="s">
        <v>1375</v>
      </c>
      <c r="F188" t="s">
        <v>1704</v>
      </c>
      <c r="G188" t="s">
        <v>1383</v>
      </c>
      <c r="H188" t="s">
        <v>1389</v>
      </c>
      <c r="I188" t="s">
        <v>1393</v>
      </c>
      <c r="J188" t="s">
        <v>1399</v>
      </c>
      <c r="K188" t="s">
        <v>1548</v>
      </c>
      <c r="L188">
        <v>184.23</v>
      </c>
      <c r="M188">
        <v>5</v>
      </c>
      <c r="N188">
        <v>0.1</v>
      </c>
      <c r="O188">
        <v>-13.57</v>
      </c>
      <c r="P188">
        <v>36.845999999999997</v>
      </c>
      <c r="Q188">
        <f>Table1_2[[#This Row],[Ship Date]]-Table1_2[[#This Row],[order date]]</f>
        <v>7</v>
      </c>
      <c r="R188" s="3">
        <f>Table1_2[[#This Row],[Profit]]/Table1_2[[#This Row],[Sales]]</f>
        <v>-7.365792759051186E-2</v>
      </c>
    </row>
    <row r="189" spans="1:18" hidden="1" x14ac:dyDescent="0.3">
      <c r="A189" t="s">
        <v>202</v>
      </c>
      <c r="B189" s="2"/>
      <c r="C189" s="2">
        <v>44981</v>
      </c>
      <c r="D189" t="s">
        <v>1364</v>
      </c>
      <c r="E189" t="s">
        <v>1375</v>
      </c>
      <c r="F189" t="s">
        <v>1379</v>
      </c>
      <c r="G189" t="s">
        <v>1386</v>
      </c>
      <c r="H189" t="s">
        <v>1390</v>
      </c>
      <c r="I189" t="s">
        <v>1393</v>
      </c>
      <c r="J189" t="s">
        <v>1396</v>
      </c>
      <c r="K189" t="s">
        <v>1549</v>
      </c>
      <c r="L189">
        <v>513.59</v>
      </c>
      <c r="M189">
        <v>1</v>
      </c>
      <c r="N189">
        <v>0.15</v>
      </c>
      <c r="O189">
        <v>77.459999999999994</v>
      </c>
      <c r="P189">
        <v>513.59</v>
      </c>
      <c r="Q189">
        <f>Table1_2[[#This Row],[Ship Date]]-Table1_2[[#This Row],[order date]]</f>
        <v>44981</v>
      </c>
      <c r="R189">
        <f>Table1_2[[#This Row],[Profit]]/Table1_2[[#This Row],[Sales]]</f>
        <v>0.1508206935493292</v>
      </c>
    </row>
    <row r="190" spans="1:18" x14ac:dyDescent="0.3">
      <c r="A190" t="s">
        <v>203</v>
      </c>
      <c r="B190" s="2">
        <v>45242</v>
      </c>
      <c r="C190" s="2">
        <v>45248</v>
      </c>
      <c r="D190" t="s">
        <v>1367</v>
      </c>
      <c r="E190" t="s">
        <v>1375</v>
      </c>
      <c r="F190" t="s">
        <v>1379</v>
      </c>
      <c r="G190" t="s">
        <v>1384</v>
      </c>
      <c r="H190" t="s">
        <v>1390</v>
      </c>
      <c r="I190" t="s">
        <v>1392</v>
      </c>
      <c r="J190" t="s">
        <v>1395</v>
      </c>
      <c r="K190" t="s">
        <v>1424</v>
      </c>
      <c r="L190">
        <v>742.96</v>
      </c>
      <c r="M190">
        <v>10</v>
      </c>
      <c r="N190">
        <v>0.2</v>
      </c>
      <c r="O190">
        <v>210.56</v>
      </c>
      <c r="P190">
        <v>74.296000000000006</v>
      </c>
      <c r="Q190">
        <f>Table1_2[[#This Row],[Ship Date]]-Table1_2[[#This Row],[order date]]</f>
        <v>6</v>
      </c>
      <c r="R190" s="3">
        <f>Table1_2[[#This Row],[Profit]]/Table1_2[[#This Row],[Sales]]</f>
        <v>0.28340691288898462</v>
      </c>
    </row>
    <row r="191" spans="1:18" x14ac:dyDescent="0.3">
      <c r="A191" t="s">
        <v>204</v>
      </c>
      <c r="B191" s="2">
        <v>45326</v>
      </c>
      <c r="C191" s="2">
        <v>45335</v>
      </c>
      <c r="D191" t="s">
        <v>1364</v>
      </c>
      <c r="E191" t="s">
        <v>1374</v>
      </c>
      <c r="F191" t="s">
        <v>1704</v>
      </c>
      <c r="G191" t="s">
        <v>1384</v>
      </c>
      <c r="H191" t="s">
        <v>1388</v>
      </c>
      <c r="I191" t="s">
        <v>1393</v>
      </c>
      <c r="J191" t="s">
        <v>1396</v>
      </c>
      <c r="K191" t="s">
        <v>1550</v>
      </c>
      <c r="L191">
        <v>831.44</v>
      </c>
      <c r="M191">
        <v>4</v>
      </c>
      <c r="N191">
        <v>0.2</v>
      </c>
      <c r="O191">
        <v>-10.76</v>
      </c>
      <c r="P191">
        <v>207.86</v>
      </c>
      <c r="Q191">
        <f>Table1_2[[#This Row],[Ship Date]]-Table1_2[[#This Row],[order date]]</f>
        <v>9</v>
      </c>
      <c r="R191" s="3">
        <f>Table1_2[[#This Row],[Profit]]/Table1_2[[#This Row],[Sales]]</f>
        <v>-1.2941402867314537E-2</v>
      </c>
    </row>
    <row r="192" spans="1:18" x14ac:dyDescent="0.3">
      <c r="A192" t="s">
        <v>205</v>
      </c>
      <c r="B192" s="2">
        <v>44669</v>
      </c>
      <c r="C192" s="2">
        <v>44674</v>
      </c>
      <c r="D192" t="s">
        <v>1370</v>
      </c>
      <c r="E192" t="s">
        <v>1376</v>
      </c>
      <c r="F192" t="s">
        <v>1379</v>
      </c>
      <c r="G192" t="s">
        <v>1385</v>
      </c>
      <c r="H192" t="s">
        <v>1388</v>
      </c>
      <c r="I192" t="s">
        <v>1394</v>
      </c>
      <c r="J192" t="s">
        <v>1402</v>
      </c>
      <c r="K192" t="s">
        <v>1551</v>
      </c>
      <c r="L192">
        <v>156.96</v>
      </c>
      <c r="M192">
        <v>3</v>
      </c>
      <c r="N192">
        <v>0.15</v>
      </c>
      <c r="O192">
        <v>-6.91</v>
      </c>
      <c r="P192">
        <v>52.32</v>
      </c>
      <c r="Q192">
        <f>Table1_2[[#This Row],[Ship Date]]-Table1_2[[#This Row],[order date]]</f>
        <v>5</v>
      </c>
      <c r="R192" s="3">
        <f>Table1_2[[#This Row],[Profit]]/Table1_2[[#This Row],[Sales]]</f>
        <v>-4.4023955147808359E-2</v>
      </c>
    </row>
    <row r="193" spans="1:18" hidden="1" x14ac:dyDescent="0.3">
      <c r="A193" t="s">
        <v>206</v>
      </c>
      <c r="B193" s="2">
        <v>45566</v>
      </c>
      <c r="C193" s="2">
        <v>45309</v>
      </c>
      <c r="D193" t="s">
        <v>1361</v>
      </c>
      <c r="E193" t="s">
        <v>1375</v>
      </c>
      <c r="F193" t="s">
        <v>1704</v>
      </c>
      <c r="G193" t="s">
        <v>1383</v>
      </c>
      <c r="H193" t="s">
        <v>1390</v>
      </c>
      <c r="I193" t="s">
        <v>1394</v>
      </c>
      <c r="J193" t="s">
        <v>1402</v>
      </c>
      <c r="K193" t="s">
        <v>1552</v>
      </c>
      <c r="L193">
        <v>374.31</v>
      </c>
      <c r="M193">
        <v>2</v>
      </c>
      <c r="N193">
        <v>0</v>
      </c>
      <c r="O193">
        <v>84.07</v>
      </c>
      <c r="P193">
        <v>187.155</v>
      </c>
      <c r="Q193">
        <f>Table1_2[[#This Row],[Ship Date]]-Table1_2[[#This Row],[order date]]</f>
        <v>-257</v>
      </c>
      <c r="R193">
        <f>Table1_2[[#This Row],[Profit]]/Table1_2[[#This Row],[Sales]]</f>
        <v>0.22459993053885816</v>
      </c>
    </row>
    <row r="194" spans="1:18" x14ac:dyDescent="0.3">
      <c r="A194" t="s">
        <v>207</v>
      </c>
      <c r="B194" s="2">
        <v>44725</v>
      </c>
      <c r="C194" s="2">
        <v>44731</v>
      </c>
      <c r="D194" t="s">
        <v>1373</v>
      </c>
      <c r="E194" t="s">
        <v>1375</v>
      </c>
      <c r="F194" t="s">
        <v>1704</v>
      </c>
      <c r="G194" t="s">
        <v>1385</v>
      </c>
      <c r="H194" t="s">
        <v>1389</v>
      </c>
      <c r="I194" t="s">
        <v>1393</v>
      </c>
      <c r="J194" t="s">
        <v>1399</v>
      </c>
      <c r="K194" t="s">
        <v>1474</v>
      </c>
      <c r="L194">
        <v>1150.99</v>
      </c>
      <c r="M194">
        <v>4</v>
      </c>
      <c r="N194">
        <v>0.2</v>
      </c>
      <c r="O194">
        <v>132.22999999999999</v>
      </c>
      <c r="P194">
        <v>287.7475</v>
      </c>
      <c r="Q194">
        <f>Table1_2[[#This Row],[Ship Date]]-Table1_2[[#This Row],[order date]]</f>
        <v>6</v>
      </c>
      <c r="R194" s="3">
        <f>Table1_2[[#This Row],[Profit]]/Table1_2[[#This Row],[Sales]]</f>
        <v>0.11488370880720075</v>
      </c>
    </row>
    <row r="195" spans="1:18" hidden="1" x14ac:dyDescent="0.3">
      <c r="A195" t="s">
        <v>208</v>
      </c>
      <c r="B195" s="2">
        <v>44682</v>
      </c>
      <c r="C195" s="2">
        <v>44570</v>
      </c>
      <c r="D195" t="s">
        <v>1368</v>
      </c>
      <c r="E195" t="s">
        <v>1376</v>
      </c>
      <c r="F195" t="s">
        <v>1704</v>
      </c>
      <c r="G195" t="s">
        <v>1385</v>
      </c>
      <c r="H195" t="s">
        <v>1388</v>
      </c>
      <c r="I195" t="s">
        <v>1392</v>
      </c>
      <c r="J195" t="s">
        <v>1397</v>
      </c>
      <c r="K195" t="s">
        <v>1442</v>
      </c>
      <c r="L195">
        <v>907.74</v>
      </c>
      <c r="M195">
        <v>2</v>
      </c>
      <c r="N195">
        <v>0</v>
      </c>
      <c r="O195">
        <v>-135.37</v>
      </c>
      <c r="P195">
        <v>453.87</v>
      </c>
      <c r="Q195">
        <f>Table1_2[[#This Row],[Ship Date]]-Table1_2[[#This Row],[order date]]</f>
        <v>-112</v>
      </c>
      <c r="R195">
        <f>Table1_2[[#This Row],[Profit]]/Table1_2[[#This Row],[Sales]]</f>
        <v>-0.14912860510718928</v>
      </c>
    </row>
    <row r="196" spans="1:18" x14ac:dyDescent="0.3">
      <c r="A196" t="s">
        <v>209</v>
      </c>
      <c r="B196" s="2">
        <v>45248</v>
      </c>
      <c r="C196" s="2">
        <v>45256</v>
      </c>
      <c r="D196" t="s">
        <v>1372</v>
      </c>
      <c r="E196" t="s">
        <v>1376</v>
      </c>
      <c r="F196" t="s">
        <v>1704</v>
      </c>
      <c r="G196" t="s">
        <v>1386</v>
      </c>
      <c r="H196" t="s">
        <v>1391</v>
      </c>
      <c r="I196" t="s">
        <v>1393</v>
      </c>
      <c r="J196" t="s">
        <v>1396</v>
      </c>
      <c r="K196" t="s">
        <v>1454</v>
      </c>
      <c r="L196">
        <v>389.82</v>
      </c>
      <c r="M196">
        <v>7</v>
      </c>
      <c r="N196">
        <v>0</v>
      </c>
      <c r="O196">
        <v>-1.45</v>
      </c>
      <c r="P196">
        <v>55.688600000000001</v>
      </c>
      <c r="Q196">
        <f>Table1_2[[#This Row],[Ship Date]]-Table1_2[[#This Row],[order date]]</f>
        <v>8</v>
      </c>
      <c r="R196" s="3">
        <f>Table1_2[[#This Row],[Profit]]/Table1_2[[#This Row],[Sales]]</f>
        <v>-3.719665486634857E-3</v>
      </c>
    </row>
    <row r="197" spans="1:18" x14ac:dyDescent="0.3">
      <c r="A197" t="s">
        <v>210</v>
      </c>
      <c r="B197" s="2">
        <v>45166</v>
      </c>
      <c r="C197" s="2">
        <v>45168</v>
      </c>
      <c r="D197" t="s">
        <v>1370</v>
      </c>
      <c r="E197" t="s">
        <v>1376</v>
      </c>
      <c r="F197" t="s">
        <v>1704</v>
      </c>
      <c r="G197" t="s">
        <v>1383</v>
      </c>
      <c r="H197" t="s">
        <v>1390</v>
      </c>
      <c r="I197" t="s">
        <v>1393</v>
      </c>
      <c r="J197" t="s">
        <v>1400</v>
      </c>
      <c r="K197" t="s">
        <v>1553</v>
      </c>
      <c r="L197">
        <v>389.56</v>
      </c>
      <c r="M197">
        <v>4</v>
      </c>
      <c r="N197">
        <v>0.15</v>
      </c>
      <c r="O197">
        <v>-55.13</v>
      </c>
      <c r="P197">
        <v>97.39</v>
      </c>
      <c r="Q197">
        <f>Table1_2[[#This Row],[Ship Date]]-Table1_2[[#This Row],[order date]]</f>
        <v>2</v>
      </c>
      <c r="R197" s="3">
        <f>Table1_2[[#This Row],[Profit]]/Table1_2[[#This Row],[Sales]]</f>
        <v>-0.14151863641030907</v>
      </c>
    </row>
    <row r="198" spans="1:18" x14ac:dyDescent="0.3">
      <c r="A198" t="s">
        <v>211</v>
      </c>
      <c r="B198" s="2">
        <v>44954</v>
      </c>
      <c r="C198" s="2">
        <v>44961</v>
      </c>
      <c r="D198" t="s">
        <v>1363</v>
      </c>
      <c r="E198" t="s">
        <v>1376</v>
      </c>
      <c r="F198" t="s">
        <v>1704</v>
      </c>
      <c r="G198" t="s">
        <v>1383</v>
      </c>
      <c r="H198" t="s">
        <v>1388</v>
      </c>
      <c r="I198" t="s">
        <v>1392</v>
      </c>
      <c r="J198" t="s">
        <v>1397</v>
      </c>
      <c r="K198" t="s">
        <v>1521</v>
      </c>
      <c r="L198">
        <v>769.89</v>
      </c>
      <c r="M198">
        <v>3</v>
      </c>
      <c r="N198">
        <v>0</v>
      </c>
      <c r="O198">
        <v>-89.74</v>
      </c>
      <c r="P198">
        <v>256.63</v>
      </c>
      <c r="Q198">
        <f>Table1_2[[#This Row],[Ship Date]]-Table1_2[[#This Row],[order date]]</f>
        <v>7</v>
      </c>
      <c r="R198" s="3">
        <f>Table1_2[[#This Row],[Profit]]/Table1_2[[#This Row],[Sales]]</f>
        <v>-0.11656210627492239</v>
      </c>
    </row>
    <row r="199" spans="1:18" x14ac:dyDescent="0.3">
      <c r="A199" t="s">
        <v>212</v>
      </c>
      <c r="B199" s="2">
        <v>44571</v>
      </c>
      <c r="C199" s="2">
        <v>44579</v>
      </c>
      <c r="D199" t="s">
        <v>1373</v>
      </c>
      <c r="E199" t="s">
        <v>1374</v>
      </c>
      <c r="F199" t="s">
        <v>1704</v>
      </c>
      <c r="G199" t="s">
        <v>1385</v>
      </c>
      <c r="H199" t="s">
        <v>1390</v>
      </c>
      <c r="I199" t="s">
        <v>1392</v>
      </c>
      <c r="J199" t="s">
        <v>1401</v>
      </c>
      <c r="K199" t="s">
        <v>1554</v>
      </c>
      <c r="L199">
        <v>981.95</v>
      </c>
      <c r="M199">
        <v>9</v>
      </c>
      <c r="N199">
        <v>0</v>
      </c>
      <c r="O199">
        <v>124.25</v>
      </c>
      <c r="P199">
        <v>109.1056</v>
      </c>
      <c r="Q199">
        <f>Table1_2[[#This Row],[Ship Date]]-Table1_2[[#This Row],[order date]]</f>
        <v>8</v>
      </c>
      <c r="R199" s="3">
        <f>Table1_2[[#This Row],[Profit]]/Table1_2[[#This Row],[Sales]]</f>
        <v>0.1265339375731962</v>
      </c>
    </row>
    <row r="200" spans="1:18" x14ac:dyDescent="0.3">
      <c r="A200" t="s">
        <v>213</v>
      </c>
      <c r="B200" s="2">
        <v>45140</v>
      </c>
      <c r="C200" s="2">
        <v>45141</v>
      </c>
      <c r="D200" t="s">
        <v>1364</v>
      </c>
      <c r="E200" t="s">
        <v>1376</v>
      </c>
      <c r="F200" t="s">
        <v>1379</v>
      </c>
      <c r="G200" t="s">
        <v>1383</v>
      </c>
      <c r="H200" t="s">
        <v>1388</v>
      </c>
      <c r="I200" t="s">
        <v>1392</v>
      </c>
      <c r="J200" t="s">
        <v>1397</v>
      </c>
      <c r="K200" t="s">
        <v>1555</v>
      </c>
      <c r="L200">
        <v>58.58</v>
      </c>
      <c r="M200">
        <v>4</v>
      </c>
      <c r="N200">
        <v>0</v>
      </c>
      <c r="O200">
        <v>-3.26</v>
      </c>
      <c r="P200">
        <v>14.645</v>
      </c>
      <c r="Q200">
        <f>Table1_2[[#This Row],[Ship Date]]-Table1_2[[#This Row],[order date]]</f>
        <v>1</v>
      </c>
      <c r="R200" s="3">
        <f>Table1_2[[#This Row],[Profit]]/Table1_2[[#This Row],[Sales]]</f>
        <v>-5.565039262546944E-2</v>
      </c>
    </row>
    <row r="201" spans="1:18" x14ac:dyDescent="0.3">
      <c r="A201" t="s">
        <v>214</v>
      </c>
      <c r="B201" s="2">
        <v>45355</v>
      </c>
      <c r="C201" s="2">
        <v>45364</v>
      </c>
      <c r="D201" t="s">
        <v>1361</v>
      </c>
      <c r="E201" t="s">
        <v>1374</v>
      </c>
      <c r="F201" t="s">
        <v>1704</v>
      </c>
      <c r="G201" t="s">
        <v>1384</v>
      </c>
      <c r="H201" t="s">
        <v>1388</v>
      </c>
      <c r="I201" t="s">
        <v>1394</v>
      </c>
      <c r="J201" t="s">
        <v>1398</v>
      </c>
      <c r="K201" t="s">
        <v>1556</v>
      </c>
      <c r="L201">
        <v>990.68</v>
      </c>
      <c r="M201">
        <v>1</v>
      </c>
      <c r="N201">
        <v>0.2</v>
      </c>
      <c r="O201">
        <v>72.489999999999995</v>
      </c>
      <c r="P201">
        <v>990.68</v>
      </c>
      <c r="Q201">
        <f>Table1_2[[#This Row],[Ship Date]]-Table1_2[[#This Row],[order date]]</f>
        <v>9</v>
      </c>
      <c r="R201" s="3">
        <f>Table1_2[[#This Row],[Profit]]/Table1_2[[#This Row],[Sales]]</f>
        <v>7.3171962692292161E-2</v>
      </c>
    </row>
    <row r="202" spans="1:18" hidden="1" x14ac:dyDescent="0.3">
      <c r="A202" t="s">
        <v>215</v>
      </c>
      <c r="B202" s="2"/>
      <c r="C202" s="2">
        <v>44837</v>
      </c>
      <c r="D202" t="s">
        <v>1364</v>
      </c>
      <c r="E202" t="s">
        <v>1376</v>
      </c>
      <c r="F202" t="s">
        <v>1704</v>
      </c>
      <c r="G202" t="s">
        <v>1387</v>
      </c>
      <c r="H202" t="s">
        <v>1390</v>
      </c>
      <c r="I202" t="s">
        <v>1392</v>
      </c>
      <c r="J202" t="s">
        <v>1397</v>
      </c>
      <c r="K202" t="s">
        <v>1409</v>
      </c>
      <c r="L202">
        <v>1041.04</v>
      </c>
      <c r="M202">
        <v>2</v>
      </c>
      <c r="N202">
        <v>0.1</v>
      </c>
      <c r="O202">
        <v>-98.96</v>
      </c>
      <c r="P202">
        <v>520.52</v>
      </c>
      <c r="Q202">
        <f>Table1_2[[#This Row],[Ship Date]]-Table1_2[[#This Row],[order date]]</f>
        <v>44837</v>
      </c>
      <c r="R202">
        <f>Table1_2[[#This Row],[Profit]]/Table1_2[[#This Row],[Sales]]</f>
        <v>-9.5058787366479672E-2</v>
      </c>
    </row>
    <row r="203" spans="1:18" x14ac:dyDescent="0.3">
      <c r="A203" t="s">
        <v>216</v>
      </c>
      <c r="B203" s="2">
        <v>45395</v>
      </c>
      <c r="C203" s="2">
        <v>45399</v>
      </c>
      <c r="D203" t="s">
        <v>1372</v>
      </c>
      <c r="E203" t="s">
        <v>1374</v>
      </c>
      <c r="F203" t="s">
        <v>1379</v>
      </c>
      <c r="G203" t="s">
        <v>1386</v>
      </c>
      <c r="H203" t="s">
        <v>1388</v>
      </c>
      <c r="I203" t="s">
        <v>1392</v>
      </c>
      <c r="J203" t="s">
        <v>1395</v>
      </c>
      <c r="K203" t="s">
        <v>1495</v>
      </c>
      <c r="L203">
        <v>433.96</v>
      </c>
      <c r="M203">
        <v>5</v>
      </c>
      <c r="N203">
        <v>0</v>
      </c>
      <c r="O203">
        <v>30.11</v>
      </c>
      <c r="P203">
        <v>86.792000000000002</v>
      </c>
      <c r="Q203">
        <f>Table1_2[[#This Row],[Ship Date]]-Table1_2[[#This Row],[order date]]</f>
        <v>4</v>
      </c>
      <c r="R203" s="3">
        <f>Table1_2[[#This Row],[Profit]]/Table1_2[[#This Row],[Sales]]</f>
        <v>6.9384275048391564E-2</v>
      </c>
    </row>
    <row r="204" spans="1:18" hidden="1" x14ac:dyDescent="0.3">
      <c r="A204" t="s">
        <v>217</v>
      </c>
      <c r="B204" s="2">
        <v>45506</v>
      </c>
      <c r="C204" s="2">
        <v>45337</v>
      </c>
      <c r="D204" t="s">
        <v>1371</v>
      </c>
      <c r="E204" t="s">
        <v>1374</v>
      </c>
      <c r="F204" t="s">
        <v>1704</v>
      </c>
      <c r="G204" t="s">
        <v>1385</v>
      </c>
      <c r="H204" t="s">
        <v>1390</v>
      </c>
      <c r="I204" t="s">
        <v>1392</v>
      </c>
      <c r="J204" t="s">
        <v>1397</v>
      </c>
      <c r="K204" t="s">
        <v>1557</v>
      </c>
      <c r="L204">
        <v>1043.1199999999999</v>
      </c>
      <c r="M204">
        <v>3</v>
      </c>
      <c r="N204">
        <v>0.1</v>
      </c>
      <c r="O204">
        <v>-78.400000000000006</v>
      </c>
      <c r="P204">
        <v>347.70670000000001</v>
      </c>
      <c r="Q204">
        <f>Table1_2[[#This Row],[Ship Date]]-Table1_2[[#This Row],[order date]]</f>
        <v>-169</v>
      </c>
      <c r="R204">
        <f>Table1_2[[#This Row],[Profit]]/Table1_2[[#This Row],[Sales]]</f>
        <v>-7.5159137970703283E-2</v>
      </c>
    </row>
    <row r="205" spans="1:18" x14ac:dyDescent="0.3">
      <c r="A205" t="s">
        <v>218</v>
      </c>
      <c r="B205" s="2">
        <v>45209</v>
      </c>
      <c r="C205" s="2">
        <v>45214</v>
      </c>
      <c r="D205" t="s">
        <v>1362</v>
      </c>
      <c r="E205" t="s">
        <v>1376</v>
      </c>
      <c r="F205" t="s">
        <v>1704</v>
      </c>
      <c r="G205" t="s">
        <v>1385</v>
      </c>
      <c r="H205" t="s">
        <v>1391</v>
      </c>
      <c r="I205" t="s">
        <v>1393</v>
      </c>
      <c r="J205" t="s">
        <v>1399</v>
      </c>
      <c r="K205" t="s">
        <v>1548</v>
      </c>
      <c r="L205">
        <v>462.7</v>
      </c>
      <c r="M205">
        <v>2</v>
      </c>
      <c r="N205">
        <v>0</v>
      </c>
      <c r="O205">
        <v>0.66</v>
      </c>
      <c r="P205">
        <v>231.35</v>
      </c>
      <c r="Q205">
        <f>Table1_2[[#This Row],[Ship Date]]-Table1_2[[#This Row],[order date]]</f>
        <v>5</v>
      </c>
      <c r="R205" s="3">
        <f>Table1_2[[#This Row],[Profit]]/Table1_2[[#This Row],[Sales]]</f>
        <v>1.4264102009941648E-3</v>
      </c>
    </row>
    <row r="206" spans="1:18" x14ac:dyDescent="0.3">
      <c r="A206" t="s">
        <v>219</v>
      </c>
      <c r="B206" s="2">
        <v>44564</v>
      </c>
      <c r="C206" s="2">
        <v>44566</v>
      </c>
      <c r="D206" t="s">
        <v>1368</v>
      </c>
      <c r="E206" t="s">
        <v>1375</v>
      </c>
      <c r="F206" t="s">
        <v>1704</v>
      </c>
      <c r="G206" t="s">
        <v>1384</v>
      </c>
      <c r="H206" t="s">
        <v>1391</v>
      </c>
      <c r="I206" t="s">
        <v>1393</v>
      </c>
      <c r="J206" t="s">
        <v>1399</v>
      </c>
      <c r="K206" t="s">
        <v>1558</v>
      </c>
      <c r="L206">
        <v>769.11</v>
      </c>
      <c r="M206">
        <v>6</v>
      </c>
      <c r="N206">
        <v>0</v>
      </c>
      <c r="O206">
        <v>152.16</v>
      </c>
      <c r="P206">
        <v>128.185</v>
      </c>
      <c r="Q206">
        <f>Table1_2[[#This Row],[Ship Date]]-Table1_2[[#This Row],[order date]]</f>
        <v>2</v>
      </c>
      <c r="R206" s="3">
        <f>Table1_2[[#This Row],[Profit]]/Table1_2[[#This Row],[Sales]]</f>
        <v>0.19783906073253499</v>
      </c>
    </row>
    <row r="207" spans="1:18" x14ac:dyDescent="0.3">
      <c r="A207" t="s">
        <v>220</v>
      </c>
      <c r="B207" s="2">
        <v>44907</v>
      </c>
      <c r="C207" s="2">
        <v>44916</v>
      </c>
      <c r="D207" t="s">
        <v>1369</v>
      </c>
      <c r="E207" t="s">
        <v>1374</v>
      </c>
      <c r="F207" t="s">
        <v>1704</v>
      </c>
      <c r="G207" t="s">
        <v>1381</v>
      </c>
      <c r="H207" t="s">
        <v>1388</v>
      </c>
      <c r="I207" t="s">
        <v>1393</v>
      </c>
      <c r="J207" t="s">
        <v>1400</v>
      </c>
      <c r="K207" t="s">
        <v>1559</v>
      </c>
      <c r="L207">
        <v>688.05</v>
      </c>
      <c r="M207">
        <v>8</v>
      </c>
      <c r="N207">
        <v>0.15</v>
      </c>
      <c r="O207">
        <v>170</v>
      </c>
      <c r="P207">
        <v>86.006200000000007</v>
      </c>
      <c r="Q207">
        <f>Table1_2[[#This Row],[Ship Date]]-Table1_2[[#This Row],[order date]]</f>
        <v>9</v>
      </c>
      <c r="R207" s="3">
        <f>Table1_2[[#This Row],[Profit]]/Table1_2[[#This Row],[Sales]]</f>
        <v>0.24707506721895212</v>
      </c>
    </row>
    <row r="208" spans="1:18" x14ac:dyDescent="0.3">
      <c r="A208" t="s">
        <v>221</v>
      </c>
      <c r="B208" s="2">
        <v>45013</v>
      </c>
      <c r="C208" s="2">
        <v>45021</v>
      </c>
      <c r="D208" t="s">
        <v>1361</v>
      </c>
      <c r="E208" t="s">
        <v>1376</v>
      </c>
      <c r="F208" t="s">
        <v>1379</v>
      </c>
      <c r="G208" t="s">
        <v>1381</v>
      </c>
      <c r="H208" t="s">
        <v>1391</v>
      </c>
      <c r="I208" t="s">
        <v>1392</v>
      </c>
      <c r="J208" t="s">
        <v>1397</v>
      </c>
      <c r="K208" t="s">
        <v>1560</v>
      </c>
      <c r="L208">
        <v>258.74</v>
      </c>
      <c r="M208">
        <v>3</v>
      </c>
      <c r="N208">
        <v>0.15</v>
      </c>
      <c r="O208">
        <v>-31.18</v>
      </c>
      <c r="P208">
        <v>86.246700000000004</v>
      </c>
      <c r="Q208">
        <f>Table1_2[[#This Row],[Ship Date]]-Table1_2[[#This Row],[order date]]</f>
        <v>8</v>
      </c>
      <c r="R208" s="3">
        <f>Table1_2[[#This Row],[Profit]]/Table1_2[[#This Row],[Sales]]</f>
        <v>-0.1205070727371106</v>
      </c>
    </row>
    <row r="209" spans="1:18" hidden="1" x14ac:dyDescent="0.3">
      <c r="A209" t="s">
        <v>222</v>
      </c>
      <c r="B209" s="2"/>
      <c r="C209" s="2">
        <v>45229</v>
      </c>
      <c r="D209" t="s">
        <v>1369</v>
      </c>
      <c r="E209" t="s">
        <v>1375</v>
      </c>
      <c r="F209" t="s">
        <v>1704</v>
      </c>
      <c r="G209" t="s">
        <v>1381</v>
      </c>
      <c r="H209" t="s">
        <v>1390</v>
      </c>
      <c r="I209" t="s">
        <v>1392</v>
      </c>
      <c r="J209" t="s">
        <v>1397</v>
      </c>
      <c r="K209" t="s">
        <v>1561</v>
      </c>
      <c r="L209">
        <v>758.21</v>
      </c>
      <c r="M209">
        <v>4</v>
      </c>
      <c r="N209">
        <v>0.2</v>
      </c>
      <c r="O209">
        <v>96.86</v>
      </c>
      <c r="P209">
        <v>189.55250000000001</v>
      </c>
      <c r="Q209">
        <f>Table1_2[[#This Row],[Ship Date]]-Table1_2[[#This Row],[order date]]</f>
        <v>45229</v>
      </c>
      <c r="R209">
        <f>Table1_2[[#This Row],[Profit]]/Table1_2[[#This Row],[Sales]]</f>
        <v>0.12774824916579838</v>
      </c>
    </row>
    <row r="210" spans="1:18" x14ac:dyDescent="0.3">
      <c r="A210" t="s">
        <v>223</v>
      </c>
      <c r="B210" s="2">
        <v>44793</v>
      </c>
      <c r="C210" s="2">
        <v>44802</v>
      </c>
      <c r="D210" t="s">
        <v>1368</v>
      </c>
      <c r="E210" t="s">
        <v>1375</v>
      </c>
      <c r="F210" t="s">
        <v>1704</v>
      </c>
      <c r="G210" t="s">
        <v>1385</v>
      </c>
      <c r="H210" t="s">
        <v>1388</v>
      </c>
      <c r="I210" t="s">
        <v>1393</v>
      </c>
      <c r="J210" t="s">
        <v>1399</v>
      </c>
      <c r="K210" t="s">
        <v>1517</v>
      </c>
      <c r="L210">
        <v>30.96</v>
      </c>
      <c r="M210">
        <v>6</v>
      </c>
      <c r="N210">
        <v>0</v>
      </c>
      <c r="O210">
        <v>9.1</v>
      </c>
      <c r="P210">
        <v>5.16</v>
      </c>
      <c r="Q210">
        <f>Table1_2[[#This Row],[Ship Date]]-Table1_2[[#This Row],[order date]]</f>
        <v>9</v>
      </c>
      <c r="R210" s="3">
        <f>Table1_2[[#This Row],[Profit]]/Table1_2[[#This Row],[Sales]]</f>
        <v>0.29392764857881137</v>
      </c>
    </row>
    <row r="211" spans="1:18" x14ac:dyDescent="0.3">
      <c r="A211" t="s">
        <v>224</v>
      </c>
      <c r="B211" s="2">
        <v>45387</v>
      </c>
      <c r="C211" s="2">
        <v>45389</v>
      </c>
      <c r="D211" t="s">
        <v>1363</v>
      </c>
      <c r="E211" t="s">
        <v>1374</v>
      </c>
      <c r="F211" t="s">
        <v>1379</v>
      </c>
      <c r="G211" t="s">
        <v>1383</v>
      </c>
      <c r="H211" t="s">
        <v>1390</v>
      </c>
      <c r="I211" t="s">
        <v>1392</v>
      </c>
      <c r="J211" t="s">
        <v>1397</v>
      </c>
      <c r="K211" t="s">
        <v>1562</v>
      </c>
      <c r="L211">
        <v>453.72</v>
      </c>
      <c r="M211">
        <v>5</v>
      </c>
      <c r="N211">
        <v>0.1</v>
      </c>
      <c r="O211">
        <v>-3.92</v>
      </c>
      <c r="P211">
        <v>90.744</v>
      </c>
      <c r="Q211">
        <f>Table1_2[[#This Row],[Ship Date]]-Table1_2[[#This Row],[order date]]</f>
        <v>2</v>
      </c>
      <c r="R211" s="3">
        <f>Table1_2[[#This Row],[Profit]]/Table1_2[[#This Row],[Sales]]</f>
        <v>-8.6396896764524365E-3</v>
      </c>
    </row>
    <row r="212" spans="1:18" x14ac:dyDescent="0.3">
      <c r="A212" t="s">
        <v>225</v>
      </c>
      <c r="B212" s="2">
        <v>44921</v>
      </c>
      <c r="C212" s="2">
        <v>44925</v>
      </c>
      <c r="D212" t="s">
        <v>1369</v>
      </c>
      <c r="E212" t="s">
        <v>1375</v>
      </c>
      <c r="F212" t="s">
        <v>1379</v>
      </c>
      <c r="G212" t="s">
        <v>1383</v>
      </c>
      <c r="H212" t="s">
        <v>1389</v>
      </c>
      <c r="I212" t="s">
        <v>1393</v>
      </c>
      <c r="J212" t="s">
        <v>1396</v>
      </c>
      <c r="K212" t="s">
        <v>1563</v>
      </c>
      <c r="L212">
        <v>198.62</v>
      </c>
      <c r="M212">
        <v>7</v>
      </c>
      <c r="N212">
        <v>0</v>
      </c>
      <c r="O212">
        <v>28.46</v>
      </c>
      <c r="P212">
        <v>28.374300000000002</v>
      </c>
      <c r="Q212">
        <f>Table1_2[[#This Row],[Ship Date]]-Table1_2[[#This Row],[order date]]</f>
        <v>4</v>
      </c>
      <c r="R212" s="3">
        <f>Table1_2[[#This Row],[Profit]]/Table1_2[[#This Row],[Sales]]</f>
        <v>0.1432886919746249</v>
      </c>
    </row>
    <row r="213" spans="1:18" hidden="1" x14ac:dyDescent="0.3">
      <c r="A213" t="s">
        <v>226</v>
      </c>
      <c r="B213" s="2"/>
      <c r="C213" s="2">
        <v>45007</v>
      </c>
      <c r="D213" t="s">
        <v>1360</v>
      </c>
      <c r="E213" t="s">
        <v>1374</v>
      </c>
      <c r="F213" t="s">
        <v>1379</v>
      </c>
      <c r="G213" t="s">
        <v>1386</v>
      </c>
      <c r="H213" t="s">
        <v>1391</v>
      </c>
      <c r="I213" t="s">
        <v>1392</v>
      </c>
      <c r="J213" t="s">
        <v>1401</v>
      </c>
      <c r="K213" t="s">
        <v>1439</v>
      </c>
      <c r="L213">
        <v>346.82</v>
      </c>
      <c r="M213">
        <v>2</v>
      </c>
      <c r="N213">
        <v>0.1</v>
      </c>
      <c r="O213">
        <v>26.6</v>
      </c>
      <c r="P213">
        <v>173.41</v>
      </c>
      <c r="Q213">
        <f>Table1_2[[#This Row],[Ship Date]]-Table1_2[[#This Row],[order date]]</f>
        <v>45007</v>
      </c>
      <c r="R213">
        <f>Table1_2[[#This Row],[Profit]]/Table1_2[[#This Row],[Sales]]</f>
        <v>7.6696845625973134E-2</v>
      </c>
    </row>
    <row r="214" spans="1:18" x14ac:dyDescent="0.3">
      <c r="A214" t="s">
        <v>227</v>
      </c>
      <c r="B214" s="2">
        <v>45092</v>
      </c>
      <c r="C214" s="2">
        <v>45102</v>
      </c>
      <c r="D214" t="s">
        <v>1373</v>
      </c>
      <c r="E214" t="s">
        <v>1375</v>
      </c>
      <c r="F214" t="s">
        <v>1704</v>
      </c>
      <c r="G214" t="s">
        <v>1385</v>
      </c>
      <c r="H214" t="s">
        <v>1388</v>
      </c>
      <c r="I214" t="s">
        <v>1393</v>
      </c>
      <c r="J214" t="s">
        <v>1400</v>
      </c>
      <c r="K214" t="s">
        <v>1564</v>
      </c>
      <c r="L214">
        <v>902.46</v>
      </c>
      <c r="M214">
        <v>5</v>
      </c>
      <c r="N214">
        <v>0</v>
      </c>
      <c r="O214">
        <v>173.18</v>
      </c>
      <c r="P214">
        <v>180.49199999999999</v>
      </c>
      <c r="Q214">
        <f>Table1_2[[#This Row],[Ship Date]]-Table1_2[[#This Row],[order date]]</f>
        <v>10</v>
      </c>
      <c r="R214" s="3">
        <f>Table1_2[[#This Row],[Profit]]/Table1_2[[#This Row],[Sales]]</f>
        <v>0.19189770183720053</v>
      </c>
    </row>
    <row r="215" spans="1:18" hidden="1" x14ac:dyDescent="0.3">
      <c r="A215" t="s">
        <v>228</v>
      </c>
      <c r="B215" s="2"/>
      <c r="C215" s="2">
        <v>44580</v>
      </c>
      <c r="D215" t="s">
        <v>1368</v>
      </c>
      <c r="E215" t="s">
        <v>1375</v>
      </c>
      <c r="F215" t="s">
        <v>1379</v>
      </c>
      <c r="G215" t="s">
        <v>1383</v>
      </c>
      <c r="H215" t="s">
        <v>1388</v>
      </c>
      <c r="I215" t="s">
        <v>1394</v>
      </c>
      <c r="J215" t="s">
        <v>1402</v>
      </c>
      <c r="K215" t="s">
        <v>1500</v>
      </c>
      <c r="L215">
        <v>476.47</v>
      </c>
      <c r="M215">
        <v>10</v>
      </c>
      <c r="N215">
        <v>0.2</v>
      </c>
      <c r="O215">
        <v>-8.24</v>
      </c>
      <c r="P215">
        <v>47.646999999999998</v>
      </c>
      <c r="Q215">
        <f>Table1_2[[#This Row],[Ship Date]]-Table1_2[[#This Row],[order date]]</f>
        <v>44580</v>
      </c>
      <c r="R215">
        <f>Table1_2[[#This Row],[Profit]]/Table1_2[[#This Row],[Sales]]</f>
        <v>-1.7293848510924088E-2</v>
      </c>
    </row>
    <row r="216" spans="1:18" hidden="1" x14ac:dyDescent="0.3">
      <c r="A216" t="s">
        <v>229</v>
      </c>
      <c r="B216" s="2"/>
      <c r="C216" s="2">
        <v>44834</v>
      </c>
      <c r="D216" t="s">
        <v>1360</v>
      </c>
      <c r="E216" t="s">
        <v>1376</v>
      </c>
      <c r="F216" t="s">
        <v>1704</v>
      </c>
      <c r="G216" t="s">
        <v>1381</v>
      </c>
      <c r="H216" t="s">
        <v>1390</v>
      </c>
      <c r="I216" t="s">
        <v>1392</v>
      </c>
      <c r="J216" t="s">
        <v>1401</v>
      </c>
      <c r="K216" t="s">
        <v>1565</v>
      </c>
      <c r="L216">
        <v>1139.44</v>
      </c>
      <c r="M216">
        <v>7</v>
      </c>
      <c r="N216">
        <v>0</v>
      </c>
      <c r="O216">
        <v>-64.67</v>
      </c>
      <c r="P216">
        <v>162.77709999999999</v>
      </c>
      <c r="Q216">
        <f>Table1_2[[#This Row],[Ship Date]]-Table1_2[[#This Row],[order date]]</f>
        <v>44834</v>
      </c>
      <c r="R216">
        <f>Table1_2[[#This Row],[Profit]]/Table1_2[[#This Row],[Sales]]</f>
        <v>-5.6755950291371197E-2</v>
      </c>
    </row>
    <row r="217" spans="1:18" hidden="1" x14ac:dyDescent="0.3">
      <c r="A217" t="s">
        <v>230</v>
      </c>
      <c r="B217" s="2"/>
      <c r="C217" s="2">
        <v>44652</v>
      </c>
      <c r="D217" t="s">
        <v>1366</v>
      </c>
      <c r="E217" t="s">
        <v>1374</v>
      </c>
      <c r="F217" t="s">
        <v>1704</v>
      </c>
      <c r="G217" t="s">
        <v>1382</v>
      </c>
      <c r="H217" t="s">
        <v>1390</v>
      </c>
      <c r="I217" t="s">
        <v>1392</v>
      </c>
      <c r="J217" t="s">
        <v>1395</v>
      </c>
      <c r="K217" t="s">
        <v>1566</v>
      </c>
      <c r="L217">
        <v>1106.69</v>
      </c>
      <c r="M217">
        <v>3</v>
      </c>
      <c r="N217">
        <v>0</v>
      </c>
      <c r="O217">
        <v>-40.53</v>
      </c>
      <c r="P217">
        <v>368.89670000000001</v>
      </c>
      <c r="Q217">
        <f>Table1_2[[#This Row],[Ship Date]]-Table1_2[[#This Row],[order date]]</f>
        <v>44652</v>
      </c>
      <c r="R217">
        <f>Table1_2[[#This Row],[Profit]]/Table1_2[[#This Row],[Sales]]</f>
        <v>-3.6622721810082318E-2</v>
      </c>
    </row>
    <row r="218" spans="1:18" x14ac:dyDescent="0.3">
      <c r="A218" t="s">
        <v>231</v>
      </c>
      <c r="B218" s="2">
        <v>44782</v>
      </c>
      <c r="C218" s="2">
        <v>44814</v>
      </c>
      <c r="D218" t="s">
        <v>1363</v>
      </c>
      <c r="E218" t="s">
        <v>1375</v>
      </c>
      <c r="F218" t="s">
        <v>1704</v>
      </c>
      <c r="G218" t="s">
        <v>1382</v>
      </c>
      <c r="H218" t="s">
        <v>1388</v>
      </c>
      <c r="I218" t="s">
        <v>1394</v>
      </c>
      <c r="J218" t="s">
        <v>1402</v>
      </c>
      <c r="K218" t="s">
        <v>1567</v>
      </c>
      <c r="L218">
        <v>554.98</v>
      </c>
      <c r="M218">
        <v>10</v>
      </c>
      <c r="N218">
        <v>0</v>
      </c>
      <c r="O218">
        <v>-25.17</v>
      </c>
      <c r="P218">
        <v>55.497999999999998</v>
      </c>
      <c r="Q218">
        <f>Table1_2[[#This Row],[Ship Date]]-Table1_2[[#This Row],[order date]]</f>
        <v>32</v>
      </c>
      <c r="R218" s="3">
        <f>Table1_2[[#This Row],[Profit]]/Table1_2[[#This Row],[Sales]]</f>
        <v>-4.5352985693178131E-2</v>
      </c>
    </row>
    <row r="219" spans="1:18" hidden="1" x14ac:dyDescent="0.3">
      <c r="A219" t="s">
        <v>232</v>
      </c>
      <c r="B219" s="2"/>
      <c r="C219" s="2">
        <v>45076</v>
      </c>
      <c r="D219" t="s">
        <v>1362</v>
      </c>
      <c r="E219" t="s">
        <v>1375</v>
      </c>
      <c r="F219" t="s">
        <v>1379</v>
      </c>
      <c r="G219" t="s">
        <v>1384</v>
      </c>
      <c r="H219" t="s">
        <v>1389</v>
      </c>
      <c r="I219" t="s">
        <v>1393</v>
      </c>
      <c r="J219" t="s">
        <v>1396</v>
      </c>
      <c r="K219" t="s">
        <v>1539</v>
      </c>
      <c r="L219">
        <v>943.92</v>
      </c>
      <c r="M219">
        <v>5</v>
      </c>
      <c r="N219">
        <v>0.1</v>
      </c>
      <c r="O219">
        <v>-13.28</v>
      </c>
      <c r="P219">
        <v>188.78399999999999</v>
      </c>
      <c r="Q219">
        <f>Table1_2[[#This Row],[Ship Date]]-Table1_2[[#This Row],[order date]]</f>
        <v>45076</v>
      </c>
      <c r="R219">
        <f>Table1_2[[#This Row],[Profit]]/Table1_2[[#This Row],[Sales]]</f>
        <v>-1.4068988897364184E-2</v>
      </c>
    </row>
    <row r="220" spans="1:18" x14ac:dyDescent="0.3">
      <c r="A220" t="s">
        <v>233</v>
      </c>
      <c r="B220" s="2">
        <v>45098</v>
      </c>
      <c r="C220" s="2">
        <v>45100</v>
      </c>
      <c r="D220" t="s">
        <v>1366</v>
      </c>
      <c r="E220" t="s">
        <v>1374</v>
      </c>
      <c r="F220" t="s">
        <v>1704</v>
      </c>
      <c r="G220" t="s">
        <v>1384</v>
      </c>
      <c r="H220" t="s">
        <v>1390</v>
      </c>
      <c r="I220" t="s">
        <v>1394</v>
      </c>
      <c r="J220" t="s">
        <v>1398</v>
      </c>
      <c r="K220" t="s">
        <v>1568</v>
      </c>
      <c r="L220">
        <v>1170.56</v>
      </c>
      <c r="M220">
        <v>2</v>
      </c>
      <c r="N220">
        <v>0.2</v>
      </c>
      <c r="O220">
        <v>32.31</v>
      </c>
      <c r="P220">
        <v>585.28</v>
      </c>
      <c r="Q220">
        <f>Table1_2[[#This Row],[Ship Date]]-Table1_2[[#This Row],[order date]]</f>
        <v>2</v>
      </c>
      <c r="R220" s="3">
        <f>Table1_2[[#This Row],[Profit]]/Table1_2[[#This Row],[Sales]]</f>
        <v>2.760217331875342E-2</v>
      </c>
    </row>
    <row r="221" spans="1:18" x14ac:dyDescent="0.3">
      <c r="A221" t="s">
        <v>234</v>
      </c>
      <c r="B221" s="2">
        <v>45353</v>
      </c>
      <c r="C221" s="2">
        <v>45355</v>
      </c>
      <c r="D221" t="s">
        <v>1363</v>
      </c>
      <c r="E221" t="s">
        <v>1376</v>
      </c>
      <c r="F221" t="s">
        <v>1379</v>
      </c>
      <c r="G221" t="s">
        <v>1385</v>
      </c>
      <c r="H221" t="s">
        <v>1390</v>
      </c>
      <c r="I221" t="s">
        <v>1393</v>
      </c>
      <c r="J221" t="s">
        <v>1396</v>
      </c>
      <c r="K221" t="s">
        <v>1569</v>
      </c>
      <c r="L221">
        <v>872.88</v>
      </c>
      <c r="M221">
        <v>4</v>
      </c>
      <c r="N221">
        <v>0</v>
      </c>
      <c r="O221">
        <v>-173.46</v>
      </c>
      <c r="P221">
        <v>218.22</v>
      </c>
      <c r="Q221">
        <f>Table1_2[[#This Row],[Ship Date]]-Table1_2[[#This Row],[order date]]</f>
        <v>2</v>
      </c>
      <c r="R221" s="3">
        <f>Table1_2[[#This Row],[Profit]]/Table1_2[[#This Row],[Sales]]</f>
        <v>-0.19872147374209514</v>
      </c>
    </row>
    <row r="222" spans="1:18" x14ac:dyDescent="0.3">
      <c r="A222" t="s">
        <v>235</v>
      </c>
      <c r="B222" s="2">
        <v>45440</v>
      </c>
      <c r="C222" s="2">
        <v>45441</v>
      </c>
      <c r="D222" t="s">
        <v>1372</v>
      </c>
      <c r="E222" t="s">
        <v>1375</v>
      </c>
      <c r="F222" t="s">
        <v>1379</v>
      </c>
      <c r="G222" t="s">
        <v>1381</v>
      </c>
      <c r="H222" t="s">
        <v>1388</v>
      </c>
      <c r="I222" t="s">
        <v>1393</v>
      </c>
      <c r="J222" t="s">
        <v>1396</v>
      </c>
      <c r="K222" t="s">
        <v>1569</v>
      </c>
      <c r="L222">
        <v>893.99</v>
      </c>
      <c r="M222">
        <v>7</v>
      </c>
      <c r="N222">
        <v>0.1</v>
      </c>
      <c r="O222">
        <v>-34.950000000000003</v>
      </c>
      <c r="P222">
        <v>127.7129</v>
      </c>
      <c r="Q222">
        <f>Table1_2[[#This Row],[Ship Date]]-Table1_2[[#This Row],[order date]]</f>
        <v>1</v>
      </c>
      <c r="R222" s="3">
        <f>Table1_2[[#This Row],[Profit]]/Table1_2[[#This Row],[Sales]]</f>
        <v>-3.9094397029049544E-2</v>
      </c>
    </row>
    <row r="223" spans="1:18" x14ac:dyDescent="0.3">
      <c r="A223" t="s">
        <v>236</v>
      </c>
      <c r="B223" s="2">
        <v>44790</v>
      </c>
      <c r="C223" s="2">
        <v>44799</v>
      </c>
      <c r="D223" t="s">
        <v>1371</v>
      </c>
      <c r="E223" t="s">
        <v>1374</v>
      </c>
      <c r="F223" t="s">
        <v>1704</v>
      </c>
      <c r="G223" t="s">
        <v>1381</v>
      </c>
      <c r="H223" t="s">
        <v>1391</v>
      </c>
      <c r="I223" t="s">
        <v>1392</v>
      </c>
      <c r="J223" t="s">
        <v>1397</v>
      </c>
      <c r="K223" t="s">
        <v>1570</v>
      </c>
      <c r="L223">
        <v>101.33</v>
      </c>
      <c r="M223">
        <v>8</v>
      </c>
      <c r="N223">
        <v>0.15</v>
      </c>
      <c r="O223">
        <v>18.920000000000002</v>
      </c>
      <c r="P223">
        <v>12.6662</v>
      </c>
      <c r="Q223">
        <f>Table1_2[[#This Row],[Ship Date]]-Table1_2[[#This Row],[order date]]</f>
        <v>9</v>
      </c>
      <c r="R223" s="3">
        <f>Table1_2[[#This Row],[Profit]]/Table1_2[[#This Row],[Sales]]</f>
        <v>0.18671666831145764</v>
      </c>
    </row>
    <row r="224" spans="1:18" x14ac:dyDescent="0.3">
      <c r="A224" t="s">
        <v>237</v>
      </c>
      <c r="B224" s="2">
        <v>44860</v>
      </c>
      <c r="C224" s="2">
        <v>44870</v>
      </c>
      <c r="D224" t="s">
        <v>1370</v>
      </c>
      <c r="E224" t="s">
        <v>1374</v>
      </c>
      <c r="F224" t="s">
        <v>1704</v>
      </c>
      <c r="G224" t="s">
        <v>1387</v>
      </c>
      <c r="H224" t="s">
        <v>1388</v>
      </c>
      <c r="I224" t="s">
        <v>1394</v>
      </c>
      <c r="J224" t="s">
        <v>1398</v>
      </c>
      <c r="K224" t="s">
        <v>1571</v>
      </c>
      <c r="L224">
        <v>754.81</v>
      </c>
      <c r="M224">
        <v>8</v>
      </c>
      <c r="N224">
        <v>0.15</v>
      </c>
      <c r="O224">
        <v>72.349999999999994</v>
      </c>
      <c r="P224">
        <v>94.351200000000006</v>
      </c>
      <c r="Q224">
        <f>Table1_2[[#This Row],[Ship Date]]-Table1_2[[#This Row],[order date]]</f>
        <v>10</v>
      </c>
      <c r="R224" s="3">
        <f>Table1_2[[#This Row],[Profit]]/Table1_2[[#This Row],[Sales]]</f>
        <v>9.5851936248857322E-2</v>
      </c>
    </row>
    <row r="225" spans="1:18" hidden="1" x14ac:dyDescent="0.3">
      <c r="A225" t="s">
        <v>238</v>
      </c>
      <c r="B225" s="2"/>
      <c r="C225" s="2">
        <v>44590</v>
      </c>
      <c r="D225" t="s">
        <v>1365</v>
      </c>
      <c r="E225" t="s">
        <v>1374</v>
      </c>
      <c r="F225" t="s">
        <v>1379</v>
      </c>
      <c r="G225" t="s">
        <v>1381</v>
      </c>
      <c r="H225" t="s">
        <v>1390</v>
      </c>
      <c r="I225" t="s">
        <v>1393</v>
      </c>
      <c r="J225" t="s">
        <v>1399</v>
      </c>
      <c r="K225" t="s">
        <v>1411</v>
      </c>
      <c r="L225">
        <v>770.41</v>
      </c>
      <c r="M225">
        <v>1</v>
      </c>
      <c r="N225">
        <v>0.15</v>
      </c>
      <c r="O225">
        <v>-153.52000000000001</v>
      </c>
      <c r="P225">
        <v>770.41</v>
      </c>
      <c r="Q225">
        <f>Table1_2[[#This Row],[Ship Date]]-Table1_2[[#This Row],[order date]]</f>
        <v>44590</v>
      </c>
      <c r="R225">
        <f>Table1_2[[#This Row],[Profit]]/Table1_2[[#This Row],[Sales]]</f>
        <v>-0.19927051829545309</v>
      </c>
    </row>
    <row r="226" spans="1:18" x14ac:dyDescent="0.3">
      <c r="A226" t="s">
        <v>239</v>
      </c>
      <c r="B226" s="2">
        <v>44805</v>
      </c>
      <c r="C226" s="2">
        <v>44812</v>
      </c>
      <c r="D226" t="s">
        <v>1360</v>
      </c>
      <c r="E226" t="s">
        <v>1374</v>
      </c>
      <c r="F226" t="s">
        <v>1379</v>
      </c>
      <c r="G226" t="s">
        <v>1385</v>
      </c>
      <c r="H226" t="s">
        <v>1388</v>
      </c>
      <c r="I226" t="s">
        <v>1394</v>
      </c>
      <c r="J226" t="s">
        <v>1402</v>
      </c>
      <c r="K226" t="s">
        <v>1476</v>
      </c>
      <c r="L226">
        <v>1167.6199999999999</v>
      </c>
      <c r="M226">
        <v>3</v>
      </c>
      <c r="N226">
        <v>0.15</v>
      </c>
      <c r="O226">
        <v>-179.21</v>
      </c>
      <c r="P226">
        <v>389.20670000000001</v>
      </c>
      <c r="Q226">
        <f>Table1_2[[#This Row],[Ship Date]]-Table1_2[[#This Row],[order date]]</f>
        <v>7</v>
      </c>
      <c r="R226" s="3">
        <f>Table1_2[[#This Row],[Profit]]/Table1_2[[#This Row],[Sales]]</f>
        <v>-0.15348315376577998</v>
      </c>
    </row>
    <row r="227" spans="1:18" x14ac:dyDescent="0.3">
      <c r="A227" t="s">
        <v>240</v>
      </c>
      <c r="B227" s="2">
        <v>44659</v>
      </c>
      <c r="C227" s="2">
        <v>44668</v>
      </c>
      <c r="D227" t="s">
        <v>1363</v>
      </c>
      <c r="E227" t="s">
        <v>1376</v>
      </c>
      <c r="F227" t="s">
        <v>1379</v>
      </c>
      <c r="G227" t="s">
        <v>1386</v>
      </c>
      <c r="H227" t="s">
        <v>1391</v>
      </c>
      <c r="I227" t="s">
        <v>1392</v>
      </c>
      <c r="J227" t="s">
        <v>1395</v>
      </c>
      <c r="K227" t="s">
        <v>1572</v>
      </c>
      <c r="L227">
        <v>987.56</v>
      </c>
      <c r="M227">
        <v>2</v>
      </c>
      <c r="N227">
        <v>0</v>
      </c>
      <c r="O227">
        <v>82.87</v>
      </c>
      <c r="P227">
        <v>493.78</v>
      </c>
      <c r="Q227">
        <f>Table1_2[[#This Row],[Ship Date]]-Table1_2[[#This Row],[order date]]</f>
        <v>9</v>
      </c>
      <c r="R227" s="3">
        <f>Table1_2[[#This Row],[Profit]]/Table1_2[[#This Row],[Sales]]</f>
        <v>8.3913888776378148E-2</v>
      </c>
    </row>
    <row r="228" spans="1:18" hidden="1" x14ac:dyDescent="0.3">
      <c r="A228" t="s">
        <v>241</v>
      </c>
      <c r="B228" s="2"/>
      <c r="C228" s="2">
        <v>45285</v>
      </c>
      <c r="D228" t="s">
        <v>1369</v>
      </c>
      <c r="E228" t="s">
        <v>1375</v>
      </c>
      <c r="F228" t="s">
        <v>1704</v>
      </c>
      <c r="G228" t="s">
        <v>1385</v>
      </c>
      <c r="H228" t="s">
        <v>1389</v>
      </c>
      <c r="I228" t="s">
        <v>1394</v>
      </c>
      <c r="J228" t="s">
        <v>1403</v>
      </c>
      <c r="K228" t="s">
        <v>1573</v>
      </c>
      <c r="L228">
        <v>340.91</v>
      </c>
      <c r="M228">
        <v>2</v>
      </c>
      <c r="N228">
        <v>0.1</v>
      </c>
      <c r="O228">
        <v>-44.98</v>
      </c>
      <c r="P228">
        <v>170.45500000000001</v>
      </c>
      <c r="Q228">
        <f>Table1_2[[#This Row],[Ship Date]]-Table1_2[[#This Row],[order date]]</f>
        <v>45285</v>
      </c>
      <c r="R228">
        <f>Table1_2[[#This Row],[Profit]]/Table1_2[[#This Row],[Sales]]</f>
        <v>-0.13194098149071601</v>
      </c>
    </row>
    <row r="229" spans="1:18" x14ac:dyDescent="0.3">
      <c r="A229" t="s">
        <v>242</v>
      </c>
      <c r="B229" s="2">
        <v>44978</v>
      </c>
      <c r="C229" s="2">
        <v>44980</v>
      </c>
      <c r="D229" t="s">
        <v>1369</v>
      </c>
      <c r="E229" t="s">
        <v>1375</v>
      </c>
      <c r="F229" t="s">
        <v>1379</v>
      </c>
      <c r="G229" t="s">
        <v>1386</v>
      </c>
      <c r="H229" t="s">
        <v>1388</v>
      </c>
      <c r="I229" t="s">
        <v>1393</v>
      </c>
      <c r="J229" t="s">
        <v>1399</v>
      </c>
      <c r="K229" t="s">
        <v>1574</v>
      </c>
      <c r="L229">
        <v>1158.27</v>
      </c>
      <c r="M229">
        <v>4</v>
      </c>
      <c r="N229">
        <v>0.2</v>
      </c>
      <c r="O229">
        <v>-53.1</v>
      </c>
      <c r="P229">
        <v>289.5675</v>
      </c>
      <c r="Q229">
        <f>Table1_2[[#This Row],[Ship Date]]-Table1_2[[#This Row],[order date]]</f>
        <v>2</v>
      </c>
      <c r="R229" s="3">
        <f>Table1_2[[#This Row],[Profit]]/Table1_2[[#This Row],[Sales]]</f>
        <v>-4.5844233209873346E-2</v>
      </c>
    </row>
    <row r="230" spans="1:18" x14ac:dyDescent="0.3">
      <c r="A230" t="s">
        <v>243</v>
      </c>
      <c r="B230" s="2">
        <v>45417</v>
      </c>
      <c r="C230" s="2">
        <v>45423</v>
      </c>
      <c r="D230" t="s">
        <v>1372</v>
      </c>
      <c r="E230" t="s">
        <v>1375</v>
      </c>
      <c r="F230" t="s">
        <v>1379</v>
      </c>
      <c r="G230" t="s">
        <v>1385</v>
      </c>
      <c r="H230" t="s">
        <v>1389</v>
      </c>
      <c r="I230" t="s">
        <v>1392</v>
      </c>
      <c r="J230" t="s">
        <v>1401</v>
      </c>
      <c r="K230" t="s">
        <v>1427</v>
      </c>
      <c r="L230">
        <v>859.17</v>
      </c>
      <c r="M230">
        <v>6</v>
      </c>
      <c r="N230">
        <v>0.2</v>
      </c>
      <c r="O230">
        <v>48.74</v>
      </c>
      <c r="P230">
        <v>143.19499999999999</v>
      </c>
      <c r="Q230">
        <f>Table1_2[[#This Row],[Ship Date]]-Table1_2[[#This Row],[order date]]</f>
        <v>6</v>
      </c>
      <c r="R230" s="3">
        <f>Table1_2[[#This Row],[Profit]]/Table1_2[[#This Row],[Sales]]</f>
        <v>5.6729168849005439E-2</v>
      </c>
    </row>
    <row r="231" spans="1:18" x14ac:dyDescent="0.3">
      <c r="A231" t="s">
        <v>244</v>
      </c>
      <c r="B231" s="2">
        <v>45328</v>
      </c>
      <c r="C231" s="2">
        <v>45337</v>
      </c>
      <c r="D231" t="s">
        <v>1363</v>
      </c>
      <c r="E231" t="s">
        <v>1376</v>
      </c>
      <c r="F231" t="s">
        <v>1379</v>
      </c>
      <c r="G231" t="s">
        <v>1382</v>
      </c>
      <c r="H231" t="s">
        <v>1388</v>
      </c>
      <c r="I231" t="s">
        <v>1392</v>
      </c>
      <c r="J231" t="s">
        <v>1401</v>
      </c>
      <c r="K231" t="s">
        <v>1575</v>
      </c>
      <c r="L231">
        <v>565.21</v>
      </c>
      <c r="M231">
        <v>3</v>
      </c>
      <c r="N231">
        <v>0</v>
      </c>
      <c r="O231">
        <v>-109.66</v>
      </c>
      <c r="P231">
        <v>188.4033</v>
      </c>
      <c r="Q231">
        <f>Table1_2[[#This Row],[Ship Date]]-Table1_2[[#This Row],[order date]]</f>
        <v>9</v>
      </c>
      <c r="R231" s="3">
        <f>Table1_2[[#This Row],[Profit]]/Table1_2[[#This Row],[Sales]]</f>
        <v>-0.19401638329116611</v>
      </c>
    </row>
    <row r="232" spans="1:18" x14ac:dyDescent="0.3">
      <c r="A232" t="s">
        <v>245</v>
      </c>
      <c r="B232" s="2">
        <v>45162</v>
      </c>
      <c r="C232" s="2">
        <v>45167</v>
      </c>
      <c r="D232" t="s">
        <v>1371</v>
      </c>
      <c r="E232" t="s">
        <v>1375</v>
      </c>
      <c r="F232" t="s">
        <v>1704</v>
      </c>
      <c r="G232" t="s">
        <v>1381</v>
      </c>
      <c r="H232" t="s">
        <v>1390</v>
      </c>
      <c r="I232" t="s">
        <v>1392</v>
      </c>
      <c r="J232" t="s">
        <v>1401</v>
      </c>
      <c r="K232" t="s">
        <v>1576</v>
      </c>
      <c r="L232">
        <v>1196.6500000000001</v>
      </c>
      <c r="M232">
        <v>4</v>
      </c>
      <c r="N232">
        <v>0.2</v>
      </c>
      <c r="O232">
        <v>244.89</v>
      </c>
      <c r="P232">
        <v>299.16250000000002</v>
      </c>
      <c r="Q232">
        <f>Table1_2[[#This Row],[Ship Date]]-Table1_2[[#This Row],[order date]]</f>
        <v>5</v>
      </c>
      <c r="R232" s="3">
        <f>Table1_2[[#This Row],[Profit]]/Table1_2[[#This Row],[Sales]]</f>
        <v>0.20464630426607611</v>
      </c>
    </row>
    <row r="233" spans="1:18" x14ac:dyDescent="0.3">
      <c r="A233" t="s">
        <v>246</v>
      </c>
      <c r="B233" s="2">
        <v>45005</v>
      </c>
      <c r="C233" s="2">
        <v>45012</v>
      </c>
      <c r="D233" t="s">
        <v>1372</v>
      </c>
      <c r="E233" t="s">
        <v>1376</v>
      </c>
      <c r="F233" t="s">
        <v>1704</v>
      </c>
      <c r="G233" t="s">
        <v>1381</v>
      </c>
      <c r="H233" t="s">
        <v>1390</v>
      </c>
      <c r="I233" t="s">
        <v>1394</v>
      </c>
      <c r="J233" t="s">
        <v>1402</v>
      </c>
      <c r="K233" t="s">
        <v>1577</v>
      </c>
      <c r="L233">
        <v>471.62</v>
      </c>
      <c r="M233">
        <v>7</v>
      </c>
      <c r="N233">
        <v>0.1</v>
      </c>
      <c r="O233">
        <v>-10.86</v>
      </c>
      <c r="P233">
        <v>67.374300000000005</v>
      </c>
      <c r="Q233">
        <f>Table1_2[[#This Row],[Ship Date]]-Table1_2[[#This Row],[order date]]</f>
        <v>7</v>
      </c>
      <c r="R233" s="3">
        <f>Table1_2[[#This Row],[Profit]]/Table1_2[[#This Row],[Sales]]</f>
        <v>-2.3027013273398074E-2</v>
      </c>
    </row>
    <row r="234" spans="1:18" x14ac:dyDescent="0.3">
      <c r="A234" t="s">
        <v>247</v>
      </c>
      <c r="B234" s="2">
        <v>44864</v>
      </c>
      <c r="C234" s="2">
        <v>44872</v>
      </c>
      <c r="D234" t="s">
        <v>1370</v>
      </c>
      <c r="E234" t="s">
        <v>1374</v>
      </c>
      <c r="F234" t="s">
        <v>1704</v>
      </c>
      <c r="G234" t="s">
        <v>1382</v>
      </c>
      <c r="H234" t="s">
        <v>1388</v>
      </c>
      <c r="I234" t="s">
        <v>1394</v>
      </c>
      <c r="J234" t="s">
        <v>1398</v>
      </c>
      <c r="K234" t="s">
        <v>1578</v>
      </c>
      <c r="L234">
        <v>585.26</v>
      </c>
      <c r="M234">
        <v>2</v>
      </c>
      <c r="N234">
        <v>0.15</v>
      </c>
      <c r="O234">
        <v>-4.97</v>
      </c>
      <c r="P234">
        <v>292.63</v>
      </c>
      <c r="Q234">
        <f>Table1_2[[#This Row],[Ship Date]]-Table1_2[[#This Row],[order date]]</f>
        <v>8</v>
      </c>
      <c r="R234" s="3">
        <f>Table1_2[[#This Row],[Profit]]/Table1_2[[#This Row],[Sales]]</f>
        <v>-8.491952294706626E-3</v>
      </c>
    </row>
    <row r="235" spans="1:18" x14ac:dyDescent="0.3">
      <c r="A235" t="s">
        <v>248</v>
      </c>
      <c r="B235" s="2">
        <v>45362</v>
      </c>
      <c r="C235" s="2">
        <v>45368</v>
      </c>
      <c r="D235" t="s">
        <v>1371</v>
      </c>
      <c r="E235" t="s">
        <v>1375</v>
      </c>
      <c r="F235" t="s">
        <v>1379</v>
      </c>
      <c r="G235" t="s">
        <v>1383</v>
      </c>
      <c r="H235" t="s">
        <v>1390</v>
      </c>
      <c r="I235" t="s">
        <v>1394</v>
      </c>
      <c r="J235" t="s">
        <v>1398</v>
      </c>
      <c r="K235" t="s">
        <v>1579</v>
      </c>
      <c r="L235">
        <v>942.09</v>
      </c>
      <c r="M235">
        <v>6</v>
      </c>
      <c r="N235">
        <v>0</v>
      </c>
      <c r="O235">
        <v>48.23</v>
      </c>
      <c r="P235">
        <v>157.01499999999999</v>
      </c>
      <c r="Q235">
        <f>Table1_2[[#This Row],[Ship Date]]-Table1_2[[#This Row],[order date]]</f>
        <v>6</v>
      </c>
      <c r="R235" s="3">
        <f>Table1_2[[#This Row],[Profit]]/Table1_2[[#This Row],[Sales]]</f>
        <v>5.1194684159687497E-2</v>
      </c>
    </row>
    <row r="236" spans="1:18" x14ac:dyDescent="0.3">
      <c r="A236" t="s">
        <v>249</v>
      </c>
      <c r="B236" s="2">
        <v>45392</v>
      </c>
      <c r="C236" s="2">
        <v>45397</v>
      </c>
      <c r="D236" t="s">
        <v>1370</v>
      </c>
      <c r="E236" t="s">
        <v>1375</v>
      </c>
      <c r="F236" t="s">
        <v>1379</v>
      </c>
      <c r="G236" t="s">
        <v>1383</v>
      </c>
      <c r="H236" t="s">
        <v>1388</v>
      </c>
      <c r="I236" t="s">
        <v>1392</v>
      </c>
      <c r="J236" t="s">
        <v>1397</v>
      </c>
      <c r="K236" t="s">
        <v>1460</v>
      </c>
      <c r="L236">
        <v>644.73</v>
      </c>
      <c r="M236">
        <v>10</v>
      </c>
      <c r="N236">
        <v>0.1</v>
      </c>
      <c r="O236">
        <v>185.03</v>
      </c>
      <c r="P236">
        <v>64.472999999999999</v>
      </c>
      <c r="Q236">
        <f>Table1_2[[#This Row],[Ship Date]]-Table1_2[[#This Row],[order date]]</f>
        <v>5</v>
      </c>
      <c r="R236" s="3">
        <f>Table1_2[[#This Row],[Profit]]/Table1_2[[#This Row],[Sales]]</f>
        <v>0.2869883517131202</v>
      </c>
    </row>
    <row r="237" spans="1:18" x14ac:dyDescent="0.3">
      <c r="A237" t="s">
        <v>250</v>
      </c>
      <c r="B237" s="2">
        <v>44786</v>
      </c>
      <c r="C237" s="2">
        <v>44796</v>
      </c>
      <c r="D237" t="s">
        <v>1362</v>
      </c>
      <c r="E237" t="s">
        <v>1375</v>
      </c>
      <c r="F237" t="s">
        <v>1379</v>
      </c>
      <c r="G237" t="s">
        <v>1383</v>
      </c>
      <c r="H237" t="s">
        <v>1390</v>
      </c>
      <c r="I237" t="s">
        <v>1394</v>
      </c>
      <c r="J237" t="s">
        <v>1403</v>
      </c>
      <c r="K237" t="s">
        <v>1580</v>
      </c>
      <c r="L237">
        <v>1123.54</v>
      </c>
      <c r="M237">
        <v>3</v>
      </c>
      <c r="N237">
        <v>0.1</v>
      </c>
      <c r="O237">
        <v>-91.82</v>
      </c>
      <c r="P237">
        <v>374.51330000000002</v>
      </c>
      <c r="Q237">
        <f>Table1_2[[#This Row],[Ship Date]]-Table1_2[[#This Row],[order date]]</f>
        <v>10</v>
      </c>
      <c r="R237" s="3">
        <f>Table1_2[[#This Row],[Profit]]/Table1_2[[#This Row],[Sales]]</f>
        <v>-8.1723837157555573E-2</v>
      </c>
    </row>
    <row r="238" spans="1:18" hidden="1" x14ac:dyDescent="0.3">
      <c r="A238" t="s">
        <v>251</v>
      </c>
      <c r="B238" s="2">
        <v>44902</v>
      </c>
      <c r="C238" s="2">
        <v>44762</v>
      </c>
      <c r="D238" t="s">
        <v>1363</v>
      </c>
      <c r="E238" t="s">
        <v>1374</v>
      </c>
      <c r="F238" t="s">
        <v>1704</v>
      </c>
      <c r="G238" t="s">
        <v>1381</v>
      </c>
      <c r="H238" t="s">
        <v>1391</v>
      </c>
      <c r="I238" t="s">
        <v>1393</v>
      </c>
      <c r="J238" t="s">
        <v>1399</v>
      </c>
      <c r="K238" t="s">
        <v>1581</v>
      </c>
      <c r="L238">
        <v>227.16</v>
      </c>
      <c r="M238">
        <v>1</v>
      </c>
      <c r="N238">
        <v>0</v>
      </c>
      <c r="O238">
        <v>-39.049999999999997</v>
      </c>
      <c r="P238">
        <v>227.16</v>
      </c>
      <c r="Q238">
        <f>Table1_2[[#This Row],[Ship Date]]-Table1_2[[#This Row],[order date]]</f>
        <v>-140</v>
      </c>
      <c r="R238">
        <f>Table1_2[[#This Row],[Profit]]/Table1_2[[#This Row],[Sales]]</f>
        <v>-0.17190526501144568</v>
      </c>
    </row>
    <row r="239" spans="1:18" hidden="1" x14ac:dyDescent="0.3">
      <c r="A239" t="s">
        <v>252</v>
      </c>
      <c r="B239" s="2"/>
      <c r="C239" s="2">
        <v>44771</v>
      </c>
      <c r="D239" t="s">
        <v>1363</v>
      </c>
      <c r="E239" t="s">
        <v>1374</v>
      </c>
      <c r="F239" t="s">
        <v>1379</v>
      </c>
      <c r="G239" t="s">
        <v>1381</v>
      </c>
      <c r="H239" t="s">
        <v>1391</v>
      </c>
      <c r="I239" t="s">
        <v>1394</v>
      </c>
      <c r="J239" t="s">
        <v>1398</v>
      </c>
      <c r="K239" t="s">
        <v>1416</v>
      </c>
      <c r="L239">
        <v>229.4</v>
      </c>
      <c r="M239">
        <v>6</v>
      </c>
      <c r="N239">
        <v>0</v>
      </c>
      <c r="O239">
        <v>-43.37</v>
      </c>
      <c r="P239">
        <v>38.2333</v>
      </c>
      <c r="Q239">
        <f>Table1_2[[#This Row],[Ship Date]]-Table1_2[[#This Row],[order date]]</f>
        <v>44771</v>
      </c>
      <c r="R239">
        <f>Table1_2[[#This Row],[Profit]]/Table1_2[[#This Row],[Sales]]</f>
        <v>-0.18905841325196163</v>
      </c>
    </row>
    <row r="240" spans="1:18" x14ac:dyDescent="0.3">
      <c r="A240" t="s">
        <v>253</v>
      </c>
      <c r="B240" s="2">
        <v>45210</v>
      </c>
      <c r="C240" s="2">
        <v>45247</v>
      </c>
      <c r="D240" t="s">
        <v>1365</v>
      </c>
      <c r="E240" t="s">
        <v>1376</v>
      </c>
      <c r="F240" t="s">
        <v>1379</v>
      </c>
      <c r="G240" t="s">
        <v>1387</v>
      </c>
      <c r="H240" t="s">
        <v>1391</v>
      </c>
      <c r="I240" t="s">
        <v>1393</v>
      </c>
      <c r="J240" t="s">
        <v>1400</v>
      </c>
      <c r="K240" t="s">
        <v>1582</v>
      </c>
      <c r="L240">
        <v>417.14</v>
      </c>
      <c r="M240">
        <v>6</v>
      </c>
      <c r="N240">
        <v>0.1</v>
      </c>
      <c r="O240">
        <v>120.11</v>
      </c>
      <c r="P240">
        <v>69.523300000000006</v>
      </c>
      <c r="Q240">
        <f>Table1_2[[#This Row],[Ship Date]]-Table1_2[[#This Row],[order date]]</f>
        <v>37</v>
      </c>
      <c r="R240" s="3">
        <f>Table1_2[[#This Row],[Profit]]/Table1_2[[#This Row],[Sales]]</f>
        <v>0.28793690367742247</v>
      </c>
    </row>
    <row r="241" spans="1:18" x14ac:dyDescent="0.3">
      <c r="A241" t="s">
        <v>254</v>
      </c>
      <c r="B241" s="2">
        <v>45243</v>
      </c>
      <c r="C241" s="2">
        <v>45253</v>
      </c>
      <c r="D241" t="s">
        <v>1360</v>
      </c>
      <c r="E241" t="s">
        <v>1374</v>
      </c>
      <c r="F241" t="s">
        <v>1379</v>
      </c>
      <c r="G241" t="s">
        <v>1387</v>
      </c>
      <c r="H241" t="s">
        <v>1391</v>
      </c>
      <c r="I241" t="s">
        <v>1392</v>
      </c>
      <c r="J241" t="s">
        <v>1397</v>
      </c>
      <c r="K241" t="s">
        <v>1583</v>
      </c>
      <c r="L241">
        <v>382.05</v>
      </c>
      <c r="M241">
        <v>5</v>
      </c>
      <c r="N241">
        <v>0.1</v>
      </c>
      <c r="O241">
        <v>-42.46</v>
      </c>
      <c r="P241">
        <v>76.41</v>
      </c>
      <c r="Q241">
        <f>Table1_2[[#This Row],[Ship Date]]-Table1_2[[#This Row],[order date]]</f>
        <v>10</v>
      </c>
      <c r="R241" s="3">
        <f>Table1_2[[#This Row],[Profit]]/Table1_2[[#This Row],[Sales]]</f>
        <v>-0.11113728569558959</v>
      </c>
    </row>
    <row r="242" spans="1:18" x14ac:dyDescent="0.3">
      <c r="A242" t="s">
        <v>255</v>
      </c>
      <c r="B242" s="2">
        <v>44788</v>
      </c>
      <c r="C242" s="2">
        <v>44798</v>
      </c>
      <c r="D242" t="s">
        <v>1370</v>
      </c>
      <c r="E242" t="s">
        <v>1375</v>
      </c>
      <c r="F242" t="s">
        <v>1379</v>
      </c>
      <c r="G242" t="s">
        <v>1385</v>
      </c>
      <c r="H242" t="s">
        <v>1388</v>
      </c>
      <c r="I242" t="s">
        <v>1392</v>
      </c>
      <c r="J242" t="s">
        <v>1397</v>
      </c>
      <c r="K242" t="s">
        <v>1442</v>
      </c>
      <c r="L242">
        <v>185.96</v>
      </c>
      <c r="M242">
        <v>2</v>
      </c>
      <c r="N242">
        <v>0.1</v>
      </c>
      <c r="O242">
        <v>-4.95</v>
      </c>
      <c r="P242">
        <v>92.98</v>
      </c>
      <c r="Q242">
        <f>Table1_2[[#This Row],[Ship Date]]-Table1_2[[#This Row],[order date]]</f>
        <v>10</v>
      </c>
      <c r="R242" s="3">
        <f>Table1_2[[#This Row],[Profit]]/Table1_2[[#This Row],[Sales]]</f>
        <v>-2.6618627661862765E-2</v>
      </c>
    </row>
    <row r="243" spans="1:18" x14ac:dyDescent="0.3">
      <c r="A243" t="s">
        <v>256</v>
      </c>
      <c r="B243" s="2">
        <v>44776</v>
      </c>
      <c r="C243" s="2">
        <v>44780</v>
      </c>
      <c r="D243" t="s">
        <v>1367</v>
      </c>
      <c r="E243" t="s">
        <v>1376</v>
      </c>
      <c r="F243" t="s">
        <v>1704</v>
      </c>
      <c r="G243" t="s">
        <v>1385</v>
      </c>
      <c r="H243" t="s">
        <v>1391</v>
      </c>
      <c r="I243" t="s">
        <v>1393</v>
      </c>
      <c r="J243" t="s">
        <v>1400</v>
      </c>
      <c r="K243" t="s">
        <v>1413</v>
      </c>
      <c r="L243">
        <v>433.57</v>
      </c>
      <c r="M243">
        <v>2</v>
      </c>
      <c r="N243">
        <v>0</v>
      </c>
      <c r="O243">
        <v>-76.28</v>
      </c>
      <c r="P243">
        <v>216.785</v>
      </c>
      <c r="Q243">
        <f>Table1_2[[#This Row],[Ship Date]]-Table1_2[[#This Row],[order date]]</f>
        <v>4</v>
      </c>
      <c r="R243" s="3">
        <f>Table1_2[[#This Row],[Profit]]/Table1_2[[#This Row],[Sales]]</f>
        <v>-0.17593468182761723</v>
      </c>
    </row>
    <row r="244" spans="1:18" x14ac:dyDescent="0.3">
      <c r="A244" t="s">
        <v>257</v>
      </c>
      <c r="B244" s="2">
        <v>44946</v>
      </c>
      <c r="C244" s="2">
        <v>44948</v>
      </c>
      <c r="D244" t="s">
        <v>1371</v>
      </c>
      <c r="E244" t="s">
        <v>1376</v>
      </c>
      <c r="F244" t="s">
        <v>1379</v>
      </c>
      <c r="G244" t="s">
        <v>1381</v>
      </c>
      <c r="H244" t="s">
        <v>1388</v>
      </c>
      <c r="I244" t="s">
        <v>1394</v>
      </c>
      <c r="J244" t="s">
        <v>1398</v>
      </c>
      <c r="K244" t="s">
        <v>1584</v>
      </c>
      <c r="L244">
        <v>788.14</v>
      </c>
      <c r="M244">
        <v>4</v>
      </c>
      <c r="N244">
        <v>0.1</v>
      </c>
      <c r="O244">
        <v>20.21</v>
      </c>
      <c r="P244">
        <v>197.035</v>
      </c>
      <c r="Q244">
        <f>Table1_2[[#This Row],[Ship Date]]-Table1_2[[#This Row],[order date]]</f>
        <v>2</v>
      </c>
      <c r="R244" s="3">
        <f>Table1_2[[#This Row],[Profit]]/Table1_2[[#This Row],[Sales]]</f>
        <v>2.5642652320653693E-2</v>
      </c>
    </row>
    <row r="245" spans="1:18" hidden="1" x14ac:dyDescent="0.3">
      <c r="A245" t="s">
        <v>258</v>
      </c>
      <c r="B245" s="2"/>
      <c r="C245" s="2">
        <v>44743</v>
      </c>
      <c r="D245" t="s">
        <v>1365</v>
      </c>
      <c r="E245" t="s">
        <v>1375</v>
      </c>
      <c r="F245" t="s">
        <v>1704</v>
      </c>
      <c r="G245" t="s">
        <v>1382</v>
      </c>
      <c r="H245" t="s">
        <v>1390</v>
      </c>
      <c r="I245" t="s">
        <v>1392</v>
      </c>
      <c r="J245" t="s">
        <v>1395</v>
      </c>
      <c r="K245" t="s">
        <v>1585</v>
      </c>
      <c r="L245">
        <v>108.5</v>
      </c>
      <c r="M245">
        <v>2</v>
      </c>
      <c r="N245">
        <v>0.15</v>
      </c>
      <c r="O245">
        <v>10.53</v>
      </c>
      <c r="P245">
        <v>54.25</v>
      </c>
      <c r="Q245">
        <f>Table1_2[[#This Row],[Ship Date]]-Table1_2[[#This Row],[order date]]</f>
        <v>44743</v>
      </c>
      <c r="R245">
        <f>Table1_2[[#This Row],[Profit]]/Table1_2[[#This Row],[Sales]]</f>
        <v>9.7050691244239623E-2</v>
      </c>
    </row>
    <row r="246" spans="1:18" hidden="1" x14ac:dyDescent="0.3">
      <c r="A246" t="s">
        <v>259</v>
      </c>
      <c r="B246" s="2"/>
      <c r="C246" s="2">
        <v>45009</v>
      </c>
      <c r="D246" t="s">
        <v>1360</v>
      </c>
      <c r="E246" t="s">
        <v>1374</v>
      </c>
      <c r="F246" t="s">
        <v>1379</v>
      </c>
      <c r="G246" t="s">
        <v>1384</v>
      </c>
      <c r="H246" t="s">
        <v>1390</v>
      </c>
      <c r="I246" t="s">
        <v>1392</v>
      </c>
      <c r="J246" t="s">
        <v>1401</v>
      </c>
      <c r="K246" t="s">
        <v>1586</v>
      </c>
      <c r="L246">
        <v>410.69</v>
      </c>
      <c r="M246">
        <v>4</v>
      </c>
      <c r="N246">
        <v>0.2</v>
      </c>
      <c r="O246">
        <v>61.03</v>
      </c>
      <c r="P246">
        <v>102.6725</v>
      </c>
      <c r="Q246">
        <f>Table1_2[[#This Row],[Ship Date]]-Table1_2[[#This Row],[order date]]</f>
        <v>45009</v>
      </c>
      <c r="R246">
        <f>Table1_2[[#This Row],[Profit]]/Table1_2[[#This Row],[Sales]]</f>
        <v>0.1486035696023765</v>
      </c>
    </row>
    <row r="247" spans="1:18" x14ac:dyDescent="0.3">
      <c r="A247" t="s">
        <v>260</v>
      </c>
      <c r="B247" s="2">
        <v>44612</v>
      </c>
      <c r="C247" s="2">
        <v>44619</v>
      </c>
      <c r="D247" t="s">
        <v>1366</v>
      </c>
      <c r="E247" t="s">
        <v>1374</v>
      </c>
      <c r="F247" t="s">
        <v>1704</v>
      </c>
      <c r="G247" t="s">
        <v>1387</v>
      </c>
      <c r="H247" t="s">
        <v>1388</v>
      </c>
      <c r="I247" t="s">
        <v>1393</v>
      </c>
      <c r="J247" t="s">
        <v>1396</v>
      </c>
      <c r="K247" t="s">
        <v>1587</v>
      </c>
      <c r="L247">
        <v>1011.03</v>
      </c>
      <c r="M247">
        <v>3</v>
      </c>
      <c r="N247">
        <v>0</v>
      </c>
      <c r="O247">
        <v>-19.8</v>
      </c>
      <c r="P247">
        <v>337.01</v>
      </c>
      <c r="Q247">
        <f>Table1_2[[#This Row],[Ship Date]]-Table1_2[[#This Row],[order date]]</f>
        <v>7</v>
      </c>
      <c r="R247" s="3">
        <f>Table1_2[[#This Row],[Profit]]/Table1_2[[#This Row],[Sales]]</f>
        <v>-1.9583988605679357E-2</v>
      </c>
    </row>
    <row r="248" spans="1:18" x14ac:dyDescent="0.3">
      <c r="A248" t="s">
        <v>261</v>
      </c>
      <c r="B248" s="2">
        <v>44773</v>
      </c>
      <c r="C248" s="2">
        <v>44776</v>
      </c>
      <c r="D248" t="s">
        <v>1373</v>
      </c>
      <c r="E248" t="s">
        <v>1374</v>
      </c>
      <c r="F248" t="s">
        <v>1379</v>
      </c>
      <c r="G248" t="s">
        <v>1381</v>
      </c>
      <c r="H248" t="s">
        <v>1389</v>
      </c>
      <c r="I248" t="s">
        <v>1393</v>
      </c>
      <c r="J248" t="s">
        <v>1399</v>
      </c>
      <c r="K248" t="s">
        <v>1588</v>
      </c>
      <c r="L248">
        <v>1172.93</v>
      </c>
      <c r="M248">
        <v>8</v>
      </c>
      <c r="N248">
        <v>0</v>
      </c>
      <c r="O248">
        <v>-53.75</v>
      </c>
      <c r="P248">
        <v>146.6163</v>
      </c>
      <c r="Q248">
        <f>Table1_2[[#This Row],[Ship Date]]-Table1_2[[#This Row],[order date]]</f>
        <v>3</v>
      </c>
      <c r="R248" s="3">
        <f>Table1_2[[#This Row],[Profit]]/Table1_2[[#This Row],[Sales]]</f>
        <v>-4.5825411576138383E-2</v>
      </c>
    </row>
    <row r="249" spans="1:18" x14ac:dyDescent="0.3">
      <c r="A249" t="s">
        <v>262</v>
      </c>
      <c r="B249" s="2">
        <v>44941</v>
      </c>
      <c r="C249" s="2">
        <v>44948</v>
      </c>
      <c r="D249" t="s">
        <v>1362</v>
      </c>
      <c r="E249" t="s">
        <v>1375</v>
      </c>
      <c r="F249" t="s">
        <v>1704</v>
      </c>
      <c r="G249" t="s">
        <v>1386</v>
      </c>
      <c r="H249" t="s">
        <v>1388</v>
      </c>
      <c r="I249" t="s">
        <v>1394</v>
      </c>
      <c r="J249" t="s">
        <v>1402</v>
      </c>
      <c r="K249" t="s">
        <v>1505</v>
      </c>
      <c r="L249">
        <v>546.01</v>
      </c>
      <c r="M249">
        <v>5</v>
      </c>
      <c r="N249">
        <v>0.2</v>
      </c>
      <c r="O249">
        <v>17.760000000000002</v>
      </c>
      <c r="P249">
        <v>109.202</v>
      </c>
      <c r="Q249">
        <f>Table1_2[[#This Row],[Ship Date]]-Table1_2[[#This Row],[order date]]</f>
        <v>7</v>
      </c>
      <c r="R249" s="3">
        <f>Table1_2[[#This Row],[Profit]]/Table1_2[[#This Row],[Sales]]</f>
        <v>3.2526876797128262E-2</v>
      </c>
    </row>
    <row r="250" spans="1:18" x14ac:dyDescent="0.3">
      <c r="A250" t="s">
        <v>263</v>
      </c>
      <c r="B250" s="2">
        <v>45246</v>
      </c>
      <c r="C250" s="2">
        <v>45252</v>
      </c>
      <c r="D250" t="s">
        <v>1360</v>
      </c>
      <c r="E250" t="s">
        <v>1374</v>
      </c>
      <c r="F250" t="s">
        <v>1704</v>
      </c>
      <c r="G250" t="s">
        <v>1383</v>
      </c>
      <c r="H250" t="s">
        <v>1390</v>
      </c>
      <c r="I250" t="s">
        <v>1393</v>
      </c>
      <c r="J250" t="s">
        <v>1399</v>
      </c>
      <c r="K250" t="s">
        <v>1516</v>
      </c>
      <c r="L250">
        <v>1165.43</v>
      </c>
      <c r="M250">
        <v>10</v>
      </c>
      <c r="N250">
        <v>0.1</v>
      </c>
      <c r="O250">
        <v>89.51</v>
      </c>
      <c r="P250">
        <v>116.54300000000001</v>
      </c>
      <c r="Q250">
        <f>Table1_2[[#This Row],[Ship Date]]-Table1_2[[#This Row],[order date]]</f>
        <v>6</v>
      </c>
      <c r="R250" s="3">
        <f>Table1_2[[#This Row],[Profit]]/Table1_2[[#This Row],[Sales]]</f>
        <v>7.6804269668705974E-2</v>
      </c>
    </row>
    <row r="251" spans="1:18" x14ac:dyDescent="0.3">
      <c r="A251" t="s">
        <v>264</v>
      </c>
      <c r="B251" s="2">
        <v>44631</v>
      </c>
      <c r="C251" s="2">
        <v>44870</v>
      </c>
      <c r="D251" t="s">
        <v>1359</v>
      </c>
      <c r="E251" t="s">
        <v>1375</v>
      </c>
      <c r="F251" t="s">
        <v>1704</v>
      </c>
      <c r="G251" t="s">
        <v>1387</v>
      </c>
      <c r="H251" t="s">
        <v>1390</v>
      </c>
      <c r="I251" t="s">
        <v>1394</v>
      </c>
      <c r="J251" t="s">
        <v>1398</v>
      </c>
      <c r="K251" t="s">
        <v>1589</v>
      </c>
      <c r="L251">
        <v>60.98</v>
      </c>
      <c r="M251">
        <v>10</v>
      </c>
      <c r="N251">
        <v>0</v>
      </c>
      <c r="O251">
        <v>12.21</v>
      </c>
      <c r="P251">
        <v>6.0979999999999999</v>
      </c>
      <c r="Q251">
        <f>Table1_2[[#This Row],[Ship Date]]-Table1_2[[#This Row],[order date]]</f>
        <v>239</v>
      </c>
      <c r="R251" s="3">
        <f>Table1_2[[#This Row],[Profit]]/Table1_2[[#This Row],[Sales]]</f>
        <v>0.20022958346999017</v>
      </c>
    </row>
    <row r="252" spans="1:18" hidden="1" x14ac:dyDescent="0.3">
      <c r="A252" t="s">
        <v>265</v>
      </c>
      <c r="B252" s="2">
        <v>45477</v>
      </c>
      <c r="C252" s="2">
        <v>45393</v>
      </c>
      <c r="D252" t="s">
        <v>1370</v>
      </c>
      <c r="E252" t="s">
        <v>1376</v>
      </c>
      <c r="F252" t="s">
        <v>1379</v>
      </c>
      <c r="G252" t="s">
        <v>1382</v>
      </c>
      <c r="H252" t="s">
        <v>1388</v>
      </c>
      <c r="I252" t="s">
        <v>1392</v>
      </c>
      <c r="J252" t="s">
        <v>1401</v>
      </c>
      <c r="K252" t="s">
        <v>1554</v>
      </c>
      <c r="L252">
        <v>519.58000000000004</v>
      </c>
      <c r="M252">
        <v>7</v>
      </c>
      <c r="N252">
        <v>0.1</v>
      </c>
      <c r="O252">
        <v>155.16</v>
      </c>
      <c r="P252">
        <v>74.225700000000003</v>
      </c>
      <c r="Q252">
        <f>Table1_2[[#This Row],[Ship Date]]-Table1_2[[#This Row],[order date]]</f>
        <v>-84</v>
      </c>
      <c r="R252">
        <f>Table1_2[[#This Row],[Profit]]/Table1_2[[#This Row],[Sales]]</f>
        <v>0.29862581315678044</v>
      </c>
    </row>
    <row r="253" spans="1:18" x14ac:dyDescent="0.3">
      <c r="A253" t="s">
        <v>266</v>
      </c>
      <c r="B253" s="2">
        <v>44959</v>
      </c>
      <c r="C253" s="2">
        <v>44968</v>
      </c>
      <c r="D253" t="s">
        <v>1364</v>
      </c>
      <c r="E253" t="s">
        <v>1374</v>
      </c>
      <c r="F253" t="s">
        <v>1704</v>
      </c>
      <c r="G253" t="s">
        <v>1381</v>
      </c>
      <c r="H253" t="s">
        <v>1389</v>
      </c>
      <c r="I253" t="s">
        <v>1394</v>
      </c>
      <c r="J253" t="s">
        <v>1398</v>
      </c>
      <c r="K253" t="s">
        <v>1590</v>
      </c>
      <c r="L253">
        <v>404.83</v>
      </c>
      <c r="M253">
        <v>5</v>
      </c>
      <c r="N253">
        <v>0</v>
      </c>
      <c r="O253">
        <v>11.77</v>
      </c>
      <c r="P253">
        <v>80.965999999999994</v>
      </c>
      <c r="Q253">
        <f>Table1_2[[#This Row],[Ship Date]]-Table1_2[[#This Row],[order date]]</f>
        <v>9</v>
      </c>
      <c r="R253" s="3">
        <f>Table1_2[[#This Row],[Profit]]/Table1_2[[#This Row],[Sales]]</f>
        <v>2.9073932267865525E-2</v>
      </c>
    </row>
    <row r="254" spans="1:18" x14ac:dyDescent="0.3">
      <c r="A254" t="s">
        <v>267</v>
      </c>
      <c r="B254" s="2">
        <v>44713</v>
      </c>
      <c r="C254" s="2">
        <v>44723</v>
      </c>
      <c r="D254" t="s">
        <v>1362</v>
      </c>
      <c r="E254" t="s">
        <v>1376</v>
      </c>
      <c r="F254" t="s">
        <v>1704</v>
      </c>
      <c r="G254" t="s">
        <v>1384</v>
      </c>
      <c r="H254" t="s">
        <v>1389</v>
      </c>
      <c r="I254" t="s">
        <v>1393</v>
      </c>
      <c r="J254" t="s">
        <v>1396</v>
      </c>
      <c r="K254" t="s">
        <v>1591</v>
      </c>
      <c r="L254">
        <v>914.89</v>
      </c>
      <c r="M254">
        <v>2</v>
      </c>
      <c r="N254">
        <v>0</v>
      </c>
      <c r="O254">
        <v>74.42</v>
      </c>
      <c r="P254">
        <v>457.44499999999999</v>
      </c>
      <c r="Q254">
        <f>Table1_2[[#This Row],[Ship Date]]-Table1_2[[#This Row],[order date]]</f>
        <v>10</v>
      </c>
      <c r="R254" s="3">
        <f>Table1_2[[#This Row],[Profit]]/Table1_2[[#This Row],[Sales]]</f>
        <v>8.1343112286723002E-2</v>
      </c>
    </row>
    <row r="255" spans="1:18" hidden="1" x14ac:dyDescent="0.3">
      <c r="A255" t="s">
        <v>268</v>
      </c>
      <c r="B255" s="2"/>
      <c r="C255" s="2">
        <v>45069</v>
      </c>
      <c r="D255" t="s">
        <v>1367</v>
      </c>
      <c r="E255" t="s">
        <v>1376</v>
      </c>
      <c r="F255" t="s">
        <v>1379</v>
      </c>
      <c r="G255" t="s">
        <v>1382</v>
      </c>
      <c r="H255" t="s">
        <v>1390</v>
      </c>
      <c r="I255" t="s">
        <v>1393</v>
      </c>
      <c r="J255" t="s">
        <v>1399</v>
      </c>
      <c r="K255" t="s">
        <v>1592</v>
      </c>
      <c r="L255">
        <v>64.209999999999994</v>
      </c>
      <c r="M255">
        <v>5</v>
      </c>
      <c r="N255">
        <v>0.2</v>
      </c>
      <c r="O255">
        <v>-8.2200000000000006</v>
      </c>
      <c r="P255">
        <v>12.842000000000001</v>
      </c>
      <c r="Q255">
        <f>Table1_2[[#This Row],[Ship Date]]-Table1_2[[#This Row],[order date]]</f>
        <v>45069</v>
      </c>
      <c r="R255">
        <f>Table1_2[[#This Row],[Profit]]/Table1_2[[#This Row],[Sales]]</f>
        <v>-0.12801744276592433</v>
      </c>
    </row>
    <row r="256" spans="1:18" x14ac:dyDescent="0.3">
      <c r="A256" t="s">
        <v>269</v>
      </c>
      <c r="B256" s="2">
        <v>45325</v>
      </c>
      <c r="C256" s="2">
        <v>45333</v>
      </c>
      <c r="D256" t="s">
        <v>1369</v>
      </c>
      <c r="E256" t="s">
        <v>1375</v>
      </c>
      <c r="F256" t="s">
        <v>1379</v>
      </c>
      <c r="G256" t="s">
        <v>1382</v>
      </c>
      <c r="H256" t="s">
        <v>1389</v>
      </c>
      <c r="I256" t="s">
        <v>1394</v>
      </c>
      <c r="J256" t="s">
        <v>1403</v>
      </c>
      <c r="K256" t="s">
        <v>1593</v>
      </c>
      <c r="L256">
        <v>43.87</v>
      </c>
      <c r="M256">
        <v>5</v>
      </c>
      <c r="N256">
        <v>0.15</v>
      </c>
      <c r="O256">
        <v>-2.62</v>
      </c>
      <c r="P256">
        <v>8.7739999999999991</v>
      </c>
      <c r="Q256">
        <f>Table1_2[[#This Row],[Ship Date]]-Table1_2[[#This Row],[order date]]</f>
        <v>8</v>
      </c>
      <c r="R256" s="3">
        <f>Table1_2[[#This Row],[Profit]]/Table1_2[[#This Row],[Sales]]</f>
        <v>-5.9721905630271264E-2</v>
      </c>
    </row>
    <row r="257" spans="1:18" x14ac:dyDescent="0.3">
      <c r="A257" t="s">
        <v>270</v>
      </c>
      <c r="B257" s="2">
        <v>45407</v>
      </c>
      <c r="C257" s="2">
        <v>45413</v>
      </c>
      <c r="D257" t="s">
        <v>1365</v>
      </c>
      <c r="E257" t="s">
        <v>1376</v>
      </c>
      <c r="F257" t="s">
        <v>1379</v>
      </c>
      <c r="G257" t="s">
        <v>1383</v>
      </c>
      <c r="H257" t="s">
        <v>1390</v>
      </c>
      <c r="I257" t="s">
        <v>1394</v>
      </c>
      <c r="J257" t="s">
        <v>1398</v>
      </c>
      <c r="K257" t="s">
        <v>1594</v>
      </c>
      <c r="L257">
        <v>511.79</v>
      </c>
      <c r="M257">
        <v>2</v>
      </c>
      <c r="N257">
        <v>0.1</v>
      </c>
      <c r="O257">
        <v>10.68</v>
      </c>
      <c r="P257">
        <v>255.89500000000001</v>
      </c>
      <c r="Q257">
        <f>Table1_2[[#This Row],[Ship Date]]-Table1_2[[#This Row],[order date]]</f>
        <v>6</v>
      </c>
      <c r="R257" s="3">
        <f>Table1_2[[#This Row],[Profit]]/Table1_2[[#This Row],[Sales]]</f>
        <v>2.0867934113601279E-2</v>
      </c>
    </row>
    <row r="258" spans="1:18" x14ac:dyDescent="0.3">
      <c r="A258" t="s">
        <v>271</v>
      </c>
      <c r="B258" s="2">
        <v>44880</v>
      </c>
      <c r="C258" s="2">
        <v>44889</v>
      </c>
      <c r="D258" t="s">
        <v>1363</v>
      </c>
      <c r="E258" t="s">
        <v>1375</v>
      </c>
      <c r="F258" t="s">
        <v>1379</v>
      </c>
      <c r="G258" t="s">
        <v>1385</v>
      </c>
      <c r="H258" t="s">
        <v>1388</v>
      </c>
      <c r="I258" t="s">
        <v>1394</v>
      </c>
      <c r="J258" t="s">
        <v>1402</v>
      </c>
      <c r="K258" t="s">
        <v>1595</v>
      </c>
      <c r="L258">
        <v>941.01</v>
      </c>
      <c r="M258">
        <v>9</v>
      </c>
      <c r="N258">
        <v>0</v>
      </c>
      <c r="O258">
        <v>-174.58</v>
      </c>
      <c r="P258">
        <v>104.55670000000001</v>
      </c>
      <c r="Q258">
        <f>Table1_2[[#This Row],[Ship Date]]-Table1_2[[#This Row],[order date]]</f>
        <v>9</v>
      </c>
      <c r="R258" s="3">
        <f>Table1_2[[#This Row],[Profit]]/Table1_2[[#This Row],[Sales]]</f>
        <v>-0.18552406456892065</v>
      </c>
    </row>
    <row r="259" spans="1:18" x14ac:dyDescent="0.3">
      <c r="A259" t="s">
        <v>272</v>
      </c>
      <c r="B259" s="2">
        <v>45283</v>
      </c>
      <c r="C259" s="2">
        <v>45287</v>
      </c>
      <c r="D259" t="s">
        <v>1369</v>
      </c>
      <c r="E259" t="s">
        <v>1376</v>
      </c>
      <c r="F259" t="s">
        <v>1704</v>
      </c>
      <c r="G259" t="s">
        <v>1383</v>
      </c>
      <c r="H259" t="s">
        <v>1389</v>
      </c>
      <c r="I259" t="s">
        <v>1394</v>
      </c>
      <c r="J259" t="s">
        <v>1403</v>
      </c>
      <c r="K259" t="s">
        <v>1489</v>
      </c>
      <c r="L259">
        <v>991.74</v>
      </c>
      <c r="M259">
        <v>9</v>
      </c>
      <c r="N259">
        <v>0.2</v>
      </c>
      <c r="O259">
        <v>116.73</v>
      </c>
      <c r="P259">
        <v>110.19329999999999</v>
      </c>
      <c r="Q259">
        <f>Table1_2[[#This Row],[Ship Date]]-Table1_2[[#This Row],[order date]]</f>
        <v>4</v>
      </c>
      <c r="R259" s="3">
        <f>Table1_2[[#This Row],[Profit]]/Table1_2[[#This Row],[Sales]]</f>
        <v>0.11770222034000848</v>
      </c>
    </row>
    <row r="260" spans="1:18" hidden="1" x14ac:dyDescent="0.3">
      <c r="A260" t="s">
        <v>273</v>
      </c>
      <c r="B260" s="2">
        <v>45571</v>
      </c>
      <c r="C260" s="2">
        <v>45461</v>
      </c>
      <c r="D260" t="s">
        <v>1366</v>
      </c>
      <c r="E260" t="s">
        <v>1375</v>
      </c>
      <c r="F260" t="s">
        <v>1704</v>
      </c>
      <c r="G260" t="s">
        <v>1381</v>
      </c>
      <c r="H260" t="s">
        <v>1390</v>
      </c>
      <c r="I260" t="s">
        <v>1393</v>
      </c>
      <c r="J260" t="s">
        <v>1396</v>
      </c>
      <c r="K260" t="s">
        <v>1596</v>
      </c>
      <c r="L260">
        <v>432.72</v>
      </c>
      <c r="M260">
        <v>3</v>
      </c>
      <c r="N260">
        <v>0.15</v>
      </c>
      <c r="O260">
        <v>75.5</v>
      </c>
      <c r="P260">
        <v>144.24</v>
      </c>
      <c r="Q260">
        <f>Table1_2[[#This Row],[Ship Date]]-Table1_2[[#This Row],[order date]]</f>
        <v>-110</v>
      </c>
      <c r="R260">
        <f>Table1_2[[#This Row],[Profit]]/Table1_2[[#This Row],[Sales]]</f>
        <v>0.17447772231466074</v>
      </c>
    </row>
    <row r="261" spans="1:18" hidden="1" x14ac:dyDescent="0.3">
      <c r="A261" t="s">
        <v>274</v>
      </c>
      <c r="B261" s="2">
        <v>45538</v>
      </c>
      <c r="C261" s="2">
        <v>45364</v>
      </c>
      <c r="D261" t="s">
        <v>1361</v>
      </c>
      <c r="E261" t="s">
        <v>1375</v>
      </c>
      <c r="F261" t="s">
        <v>1704</v>
      </c>
      <c r="G261" t="s">
        <v>1387</v>
      </c>
      <c r="H261" t="s">
        <v>1390</v>
      </c>
      <c r="I261" t="s">
        <v>1392</v>
      </c>
      <c r="J261" t="s">
        <v>1395</v>
      </c>
      <c r="K261" t="s">
        <v>1585</v>
      </c>
      <c r="L261">
        <v>285.63</v>
      </c>
      <c r="M261">
        <v>4</v>
      </c>
      <c r="N261">
        <v>0.15</v>
      </c>
      <c r="O261">
        <v>35.93</v>
      </c>
      <c r="P261">
        <v>71.407499999999999</v>
      </c>
      <c r="Q261">
        <f>Table1_2[[#This Row],[Ship Date]]-Table1_2[[#This Row],[order date]]</f>
        <v>-174</v>
      </c>
      <c r="R261">
        <f>Table1_2[[#This Row],[Profit]]/Table1_2[[#This Row],[Sales]]</f>
        <v>0.12579210867205826</v>
      </c>
    </row>
    <row r="262" spans="1:18" x14ac:dyDescent="0.3">
      <c r="A262" t="s">
        <v>275</v>
      </c>
      <c r="B262" s="2">
        <v>45382</v>
      </c>
      <c r="C262" s="2">
        <v>45383</v>
      </c>
      <c r="D262" t="s">
        <v>1372</v>
      </c>
      <c r="E262" t="s">
        <v>1376</v>
      </c>
      <c r="F262" t="s">
        <v>1704</v>
      </c>
      <c r="G262" t="s">
        <v>1385</v>
      </c>
      <c r="H262" t="s">
        <v>1391</v>
      </c>
      <c r="I262" t="s">
        <v>1392</v>
      </c>
      <c r="J262" t="s">
        <v>1397</v>
      </c>
      <c r="K262" t="s">
        <v>1444</v>
      </c>
      <c r="L262">
        <v>737.85</v>
      </c>
      <c r="M262">
        <v>5</v>
      </c>
      <c r="N262">
        <v>0.15</v>
      </c>
      <c r="O262">
        <v>8.7799999999999994</v>
      </c>
      <c r="P262">
        <v>147.57</v>
      </c>
      <c r="Q262">
        <f>Table1_2[[#This Row],[Ship Date]]-Table1_2[[#This Row],[order date]]</f>
        <v>1</v>
      </c>
      <c r="R262" s="3">
        <f>Table1_2[[#This Row],[Profit]]/Table1_2[[#This Row],[Sales]]</f>
        <v>1.1899437555058614E-2</v>
      </c>
    </row>
    <row r="263" spans="1:18" hidden="1" x14ac:dyDescent="0.3">
      <c r="A263" t="s">
        <v>276</v>
      </c>
      <c r="B263" s="2"/>
      <c r="C263" s="2">
        <v>45105</v>
      </c>
      <c r="D263" t="s">
        <v>1360</v>
      </c>
      <c r="E263" t="s">
        <v>1376</v>
      </c>
      <c r="F263" t="s">
        <v>1379</v>
      </c>
      <c r="G263" t="s">
        <v>1385</v>
      </c>
      <c r="H263" t="s">
        <v>1388</v>
      </c>
      <c r="I263" t="s">
        <v>1394</v>
      </c>
      <c r="J263" t="s">
        <v>1398</v>
      </c>
      <c r="K263" t="s">
        <v>1584</v>
      </c>
      <c r="L263">
        <v>140.72999999999999</v>
      </c>
      <c r="M263">
        <v>9</v>
      </c>
      <c r="N263">
        <v>0.15</v>
      </c>
      <c r="O263">
        <v>11.36</v>
      </c>
      <c r="P263">
        <v>15.636699999999999</v>
      </c>
      <c r="Q263">
        <f>Table1_2[[#This Row],[Ship Date]]-Table1_2[[#This Row],[order date]]</f>
        <v>45105</v>
      </c>
      <c r="R263">
        <f>Table1_2[[#This Row],[Profit]]/Table1_2[[#This Row],[Sales]]</f>
        <v>8.0721949833013576E-2</v>
      </c>
    </row>
    <row r="264" spans="1:18" x14ac:dyDescent="0.3">
      <c r="A264" t="s">
        <v>277</v>
      </c>
      <c r="B264" s="2">
        <v>44845</v>
      </c>
      <c r="C264" s="2">
        <v>44851</v>
      </c>
      <c r="D264" t="s">
        <v>1361</v>
      </c>
      <c r="E264" t="s">
        <v>1376</v>
      </c>
      <c r="F264" t="s">
        <v>1379</v>
      </c>
      <c r="G264" t="s">
        <v>1382</v>
      </c>
      <c r="H264" t="s">
        <v>1390</v>
      </c>
      <c r="I264" t="s">
        <v>1394</v>
      </c>
      <c r="J264" t="s">
        <v>1403</v>
      </c>
      <c r="K264" t="s">
        <v>1512</v>
      </c>
      <c r="L264">
        <v>794.22</v>
      </c>
      <c r="M264">
        <v>5</v>
      </c>
      <c r="N264">
        <v>0.1</v>
      </c>
      <c r="O264">
        <v>-99.31</v>
      </c>
      <c r="P264">
        <v>158.84399999999999</v>
      </c>
      <c r="Q264">
        <f>Table1_2[[#This Row],[Ship Date]]-Table1_2[[#This Row],[order date]]</f>
        <v>6</v>
      </c>
      <c r="R264" s="3">
        <f>Table1_2[[#This Row],[Profit]]/Table1_2[[#This Row],[Sales]]</f>
        <v>-0.1250409206517086</v>
      </c>
    </row>
    <row r="265" spans="1:18" hidden="1" x14ac:dyDescent="0.3">
      <c r="A265" t="s">
        <v>278</v>
      </c>
      <c r="B265" s="2"/>
      <c r="C265" s="2">
        <v>44596</v>
      </c>
      <c r="D265" t="s">
        <v>1359</v>
      </c>
      <c r="E265" t="s">
        <v>1376</v>
      </c>
      <c r="F265" t="s">
        <v>1704</v>
      </c>
      <c r="G265" t="s">
        <v>1382</v>
      </c>
      <c r="H265" t="s">
        <v>1389</v>
      </c>
      <c r="I265" t="s">
        <v>1394</v>
      </c>
      <c r="J265" t="s">
        <v>1403</v>
      </c>
      <c r="K265" t="s">
        <v>1494</v>
      </c>
      <c r="L265">
        <v>1090.1600000000001</v>
      </c>
      <c r="M265">
        <v>7</v>
      </c>
      <c r="N265">
        <v>0.2</v>
      </c>
      <c r="O265">
        <v>183.55</v>
      </c>
      <c r="P265">
        <v>155.7371</v>
      </c>
      <c r="Q265">
        <f>Table1_2[[#This Row],[Ship Date]]-Table1_2[[#This Row],[order date]]</f>
        <v>44596</v>
      </c>
      <c r="R265">
        <f>Table1_2[[#This Row],[Profit]]/Table1_2[[#This Row],[Sales]]</f>
        <v>0.16836978058266677</v>
      </c>
    </row>
    <row r="266" spans="1:18" x14ac:dyDescent="0.3">
      <c r="A266" t="s">
        <v>279</v>
      </c>
      <c r="B266" s="2">
        <v>44929</v>
      </c>
      <c r="C266" s="2">
        <v>44938</v>
      </c>
      <c r="D266" t="s">
        <v>1370</v>
      </c>
      <c r="E266" t="s">
        <v>1376</v>
      </c>
      <c r="F266" t="s">
        <v>1704</v>
      </c>
      <c r="G266" t="s">
        <v>1382</v>
      </c>
      <c r="H266" t="s">
        <v>1391</v>
      </c>
      <c r="I266" t="s">
        <v>1394</v>
      </c>
      <c r="J266" t="s">
        <v>1402</v>
      </c>
      <c r="K266" t="s">
        <v>1577</v>
      </c>
      <c r="L266">
        <v>1011.95</v>
      </c>
      <c r="M266">
        <v>9</v>
      </c>
      <c r="N266">
        <v>0.1</v>
      </c>
      <c r="O266">
        <v>-53.74</v>
      </c>
      <c r="P266">
        <v>112.4389</v>
      </c>
      <c r="Q266">
        <f>Table1_2[[#This Row],[Ship Date]]-Table1_2[[#This Row],[order date]]</f>
        <v>9</v>
      </c>
      <c r="R266" s="3">
        <f>Table1_2[[#This Row],[Profit]]/Table1_2[[#This Row],[Sales]]</f>
        <v>-5.3105390582538665E-2</v>
      </c>
    </row>
    <row r="267" spans="1:18" x14ac:dyDescent="0.3">
      <c r="A267" t="s">
        <v>280</v>
      </c>
      <c r="B267" s="2">
        <v>44653</v>
      </c>
      <c r="C267" s="2">
        <v>44657</v>
      </c>
      <c r="D267" t="s">
        <v>1372</v>
      </c>
      <c r="E267" t="s">
        <v>1374</v>
      </c>
      <c r="F267" t="s">
        <v>1379</v>
      </c>
      <c r="G267" t="s">
        <v>1385</v>
      </c>
      <c r="H267" t="s">
        <v>1388</v>
      </c>
      <c r="I267" t="s">
        <v>1394</v>
      </c>
      <c r="J267" t="s">
        <v>1402</v>
      </c>
      <c r="K267" t="s">
        <v>1597</v>
      </c>
      <c r="L267">
        <v>898.17</v>
      </c>
      <c r="M267">
        <v>5</v>
      </c>
      <c r="N267">
        <v>0.2</v>
      </c>
      <c r="O267">
        <v>174.29</v>
      </c>
      <c r="P267">
        <v>179.63399999999999</v>
      </c>
      <c r="Q267">
        <f>Table1_2[[#This Row],[Ship Date]]-Table1_2[[#This Row],[order date]]</f>
        <v>4</v>
      </c>
      <c r="R267" s="3">
        <f>Table1_2[[#This Row],[Profit]]/Table1_2[[#This Row],[Sales]]</f>
        <v>0.19405012414130954</v>
      </c>
    </row>
    <row r="268" spans="1:18" hidden="1" x14ac:dyDescent="0.3">
      <c r="A268" t="s">
        <v>281</v>
      </c>
      <c r="B268" s="2"/>
      <c r="C268" s="2">
        <v>44626</v>
      </c>
      <c r="D268" t="s">
        <v>1365</v>
      </c>
      <c r="E268" t="s">
        <v>1376</v>
      </c>
      <c r="F268" t="s">
        <v>1704</v>
      </c>
      <c r="G268" t="s">
        <v>1381</v>
      </c>
      <c r="H268" t="s">
        <v>1390</v>
      </c>
      <c r="I268" t="s">
        <v>1393</v>
      </c>
      <c r="J268" t="s">
        <v>1396</v>
      </c>
      <c r="K268" t="s">
        <v>1598</v>
      </c>
      <c r="L268">
        <v>104.03</v>
      </c>
      <c r="M268">
        <v>4</v>
      </c>
      <c r="N268">
        <v>0</v>
      </c>
      <c r="O268">
        <v>-14.57</v>
      </c>
      <c r="P268">
        <v>26.0075</v>
      </c>
      <c r="Q268">
        <f>Table1_2[[#This Row],[Ship Date]]-Table1_2[[#This Row],[order date]]</f>
        <v>44626</v>
      </c>
      <c r="R268">
        <f>Table1_2[[#This Row],[Profit]]/Table1_2[[#This Row],[Sales]]</f>
        <v>-0.14005575314813035</v>
      </c>
    </row>
    <row r="269" spans="1:18" hidden="1" x14ac:dyDescent="0.3">
      <c r="A269" t="s">
        <v>282</v>
      </c>
      <c r="B269" s="2"/>
      <c r="C269" s="2">
        <v>44773</v>
      </c>
      <c r="D269" t="s">
        <v>1363</v>
      </c>
      <c r="E269" t="s">
        <v>1376</v>
      </c>
      <c r="F269" t="s">
        <v>1379</v>
      </c>
      <c r="G269" t="s">
        <v>1382</v>
      </c>
      <c r="H269" t="s">
        <v>1390</v>
      </c>
      <c r="I269" t="s">
        <v>1394</v>
      </c>
      <c r="J269" t="s">
        <v>1398</v>
      </c>
      <c r="K269" t="s">
        <v>1599</v>
      </c>
      <c r="L269">
        <v>1073.56</v>
      </c>
      <c r="M269">
        <v>8</v>
      </c>
      <c r="N269">
        <v>0.1</v>
      </c>
      <c r="O269">
        <v>-44.88</v>
      </c>
      <c r="P269">
        <v>134.19499999999999</v>
      </c>
      <c r="Q269">
        <f>Table1_2[[#This Row],[Ship Date]]-Table1_2[[#This Row],[order date]]</f>
        <v>44773</v>
      </c>
      <c r="R269">
        <f>Table1_2[[#This Row],[Profit]]/Table1_2[[#This Row],[Sales]]</f>
        <v>-4.180483624576177E-2</v>
      </c>
    </row>
    <row r="270" spans="1:18" x14ac:dyDescent="0.3">
      <c r="A270" t="s">
        <v>283</v>
      </c>
      <c r="B270" s="2">
        <v>45211</v>
      </c>
      <c r="C270" s="2">
        <v>45212</v>
      </c>
      <c r="D270" t="s">
        <v>1369</v>
      </c>
      <c r="E270" t="s">
        <v>1374</v>
      </c>
      <c r="F270" t="s">
        <v>1704</v>
      </c>
      <c r="G270" t="s">
        <v>1382</v>
      </c>
      <c r="H270" t="s">
        <v>1389</v>
      </c>
      <c r="I270" t="s">
        <v>1392</v>
      </c>
      <c r="J270" t="s">
        <v>1397</v>
      </c>
      <c r="K270" t="s">
        <v>1600</v>
      </c>
      <c r="L270">
        <v>342.76</v>
      </c>
      <c r="M270">
        <v>3</v>
      </c>
      <c r="N270">
        <v>0</v>
      </c>
      <c r="O270">
        <v>62.47</v>
      </c>
      <c r="P270">
        <v>114.2533</v>
      </c>
      <c r="Q270">
        <f>Table1_2[[#This Row],[Ship Date]]-Table1_2[[#This Row],[order date]]</f>
        <v>1</v>
      </c>
      <c r="R270" s="3">
        <f>Table1_2[[#This Row],[Profit]]/Table1_2[[#This Row],[Sales]]</f>
        <v>0.18225580581164663</v>
      </c>
    </row>
    <row r="271" spans="1:18" x14ac:dyDescent="0.3">
      <c r="A271" t="s">
        <v>284</v>
      </c>
      <c r="B271" s="2">
        <v>45001</v>
      </c>
      <c r="C271" s="2">
        <v>45009</v>
      </c>
      <c r="D271" t="s">
        <v>1359</v>
      </c>
      <c r="E271" t="s">
        <v>1375</v>
      </c>
      <c r="F271" t="s">
        <v>1379</v>
      </c>
      <c r="G271" t="s">
        <v>1382</v>
      </c>
      <c r="H271" t="s">
        <v>1390</v>
      </c>
      <c r="I271" t="s">
        <v>1394</v>
      </c>
      <c r="J271" t="s">
        <v>1402</v>
      </c>
      <c r="K271" t="s">
        <v>1601</v>
      </c>
      <c r="L271">
        <v>64.52</v>
      </c>
      <c r="M271">
        <v>4</v>
      </c>
      <c r="N271">
        <v>0.15</v>
      </c>
      <c r="O271">
        <v>17.75</v>
      </c>
      <c r="P271">
        <v>16.13</v>
      </c>
      <c r="Q271">
        <f>Table1_2[[#This Row],[Ship Date]]-Table1_2[[#This Row],[order date]]</f>
        <v>8</v>
      </c>
      <c r="R271" s="3">
        <f>Table1_2[[#This Row],[Profit]]/Table1_2[[#This Row],[Sales]]</f>
        <v>0.27510849349039057</v>
      </c>
    </row>
    <row r="272" spans="1:18" x14ac:dyDescent="0.3">
      <c r="A272" t="s">
        <v>285</v>
      </c>
      <c r="B272" s="2">
        <v>45272</v>
      </c>
      <c r="C272" s="2">
        <v>45278</v>
      </c>
      <c r="D272" t="s">
        <v>1366</v>
      </c>
      <c r="E272" t="s">
        <v>1376</v>
      </c>
      <c r="F272" t="s">
        <v>1704</v>
      </c>
      <c r="G272" t="s">
        <v>1382</v>
      </c>
      <c r="H272" t="s">
        <v>1391</v>
      </c>
      <c r="I272" t="s">
        <v>1394</v>
      </c>
      <c r="J272" t="s">
        <v>1402</v>
      </c>
      <c r="K272" t="s">
        <v>1602</v>
      </c>
      <c r="L272">
        <v>141.19999999999999</v>
      </c>
      <c r="M272">
        <v>9</v>
      </c>
      <c r="N272">
        <v>0</v>
      </c>
      <c r="O272">
        <v>-6.63</v>
      </c>
      <c r="P272">
        <v>15.6889</v>
      </c>
      <c r="Q272">
        <f>Table1_2[[#This Row],[Ship Date]]-Table1_2[[#This Row],[order date]]</f>
        <v>6</v>
      </c>
      <c r="R272" s="3">
        <f>Table1_2[[#This Row],[Profit]]/Table1_2[[#This Row],[Sales]]</f>
        <v>-4.6954674220963173E-2</v>
      </c>
    </row>
    <row r="273" spans="1:18" x14ac:dyDescent="0.3">
      <c r="A273" t="s">
        <v>286</v>
      </c>
      <c r="B273" s="2">
        <v>45265</v>
      </c>
      <c r="C273" s="2">
        <v>45268</v>
      </c>
      <c r="D273" t="s">
        <v>1369</v>
      </c>
      <c r="E273" t="s">
        <v>1375</v>
      </c>
      <c r="F273" t="s">
        <v>1704</v>
      </c>
      <c r="G273" t="s">
        <v>1387</v>
      </c>
      <c r="H273" t="s">
        <v>1388</v>
      </c>
      <c r="I273" t="s">
        <v>1394</v>
      </c>
      <c r="J273" t="s">
        <v>1403</v>
      </c>
      <c r="K273" t="s">
        <v>1603</v>
      </c>
      <c r="L273">
        <v>443.92</v>
      </c>
      <c r="M273">
        <v>4</v>
      </c>
      <c r="N273">
        <v>0.1</v>
      </c>
      <c r="O273">
        <v>121.65</v>
      </c>
      <c r="P273">
        <v>110.98</v>
      </c>
      <c r="Q273">
        <f>Table1_2[[#This Row],[Ship Date]]-Table1_2[[#This Row],[order date]]</f>
        <v>3</v>
      </c>
      <c r="R273" s="3">
        <f>Table1_2[[#This Row],[Profit]]/Table1_2[[#This Row],[Sales]]</f>
        <v>0.27403586231753468</v>
      </c>
    </row>
    <row r="274" spans="1:18" x14ac:dyDescent="0.3">
      <c r="A274" t="s">
        <v>287</v>
      </c>
      <c r="B274" s="2">
        <v>45078</v>
      </c>
      <c r="C274" s="2">
        <v>45081</v>
      </c>
      <c r="D274" t="s">
        <v>1364</v>
      </c>
      <c r="E274" t="s">
        <v>1375</v>
      </c>
      <c r="F274" t="s">
        <v>1379</v>
      </c>
      <c r="G274" t="s">
        <v>1382</v>
      </c>
      <c r="H274" t="s">
        <v>1388</v>
      </c>
      <c r="I274" t="s">
        <v>1392</v>
      </c>
      <c r="J274" t="s">
        <v>1397</v>
      </c>
      <c r="K274" t="s">
        <v>1604</v>
      </c>
      <c r="L274">
        <v>859.11</v>
      </c>
      <c r="M274">
        <v>1</v>
      </c>
      <c r="N274">
        <v>0.2</v>
      </c>
      <c r="O274">
        <v>204.7</v>
      </c>
      <c r="P274">
        <v>859.11</v>
      </c>
      <c r="Q274">
        <f>Table1_2[[#This Row],[Ship Date]]-Table1_2[[#This Row],[order date]]</f>
        <v>3</v>
      </c>
      <c r="R274" s="3">
        <f>Table1_2[[#This Row],[Profit]]/Table1_2[[#This Row],[Sales]]</f>
        <v>0.23826983738985694</v>
      </c>
    </row>
    <row r="275" spans="1:18" x14ac:dyDescent="0.3">
      <c r="A275" t="s">
        <v>288</v>
      </c>
      <c r="B275" s="2">
        <v>45418</v>
      </c>
      <c r="C275" s="2">
        <v>45419</v>
      </c>
      <c r="D275" t="s">
        <v>1365</v>
      </c>
      <c r="E275" t="s">
        <v>1375</v>
      </c>
      <c r="F275" t="s">
        <v>1704</v>
      </c>
      <c r="G275" t="s">
        <v>1382</v>
      </c>
      <c r="H275" t="s">
        <v>1388</v>
      </c>
      <c r="I275" t="s">
        <v>1392</v>
      </c>
      <c r="J275" t="s">
        <v>1395</v>
      </c>
      <c r="K275" t="s">
        <v>1496</v>
      </c>
      <c r="L275">
        <v>156.63</v>
      </c>
      <c r="M275">
        <v>8</v>
      </c>
      <c r="N275">
        <v>0.2</v>
      </c>
      <c r="O275">
        <v>-21.65</v>
      </c>
      <c r="P275">
        <v>19.578700000000001</v>
      </c>
      <c r="Q275">
        <f>Table1_2[[#This Row],[Ship Date]]-Table1_2[[#This Row],[order date]]</f>
        <v>1</v>
      </c>
      <c r="R275" s="3">
        <f>Table1_2[[#This Row],[Profit]]/Table1_2[[#This Row],[Sales]]</f>
        <v>-0.13822383962203919</v>
      </c>
    </row>
    <row r="276" spans="1:18" x14ac:dyDescent="0.3">
      <c r="A276" t="s">
        <v>289</v>
      </c>
      <c r="B276" s="2">
        <v>44992</v>
      </c>
      <c r="C276" s="2">
        <v>44994</v>
      </c>
      <c r="D276" t="s">
        <v>1364</v>
      </c>
      <c r="E276" t="s">
        <v>1374</v>
      </c>
      <c r="F276" t="s">
        <v>1379</v>
      </c>
      <c r="G276" t="s">
        <v>1384</v>
      </c>
      <c r="H276" t="s">
        <v>1388</v>
      </c>
      <c r="I276" t="s">
        <v>1393</v>
      </c>
      <c r="J276" t="s">
        <v>1396</v>
      </c>
      <c r="K276" t="s">
        <v>1605</v>
      </c>
      <c r="L276">
        <v>338.57</v>
      </c>
      <c r="M276">
        <v>10</v>
      </c>
      <c r="N276">
        <v>0.1</v>
      </c>
      <c r="O276">
        <v>3.19</v>
      </c>
      <c r="P276">
        <v>33.856999999999999</v>
      </c>
      <c r="Q276">
        <f>Table1_2[[#This Row],[Ship Date]]-Table1_2[[#This Row],[order date]]</f>
        <v>2</v>
      </c>
      <c r="R276" s="3">
        <f>Table1_2[[#This Row],[Profit]]/Table1_2[[#This Row],[Sales]]</f>
        <v>9.4219806834628002E-3</v>
      </c>
    </row>
    <row r="277" spans="1:18" x14ac:dyDescent="0.3">
      <c r="A277" t="s">
        <v>290</v>
      </c>
      <c r="B277" s="2">
        <v>45071</v>
      </c>
      <c r="C277" s="2">
        <v>45075</v>
      </c>
      <c r="D277" t="s">
        <v>1371</v>
      </c>
      <c r="E277" t="s">
        <v>1375</v>
      </c>
      <c r="F277" t="s">
        <v>1704</v>
      </c>
      <c r="G277" t="s">
        <v>1387</v>
      </c>
      <c r="H277" t="s">
        <v>1389</v>
      </c>
      <c r="I277" t="s">
        <v>1393</v>
      </c>
      <c r="J277" t="s">
        <v>1400</v>
      </c>
      <c r="K277" t="s">
        <v>1606</v>
      </c>
      <c r="L277">
        <v>937.99</v>
      </c>
      <c r="M277">
        <v>9</v>
      </c>
      <c r="N277">
        <v>0.1</v>
      </c>
      <c r="O277">
        <v>-19.73</v>
      </c>
      <c r="P277">
        <v>104.22110000000001</v>
      </c>
      <c r="Q277">
        <f>Table1_2[[#This Row],[Ship Date]]-Table1_2[[#This Row],[order date]]</f>
        <v>4</v>
      </c>
      <c r="R277" s="3">
        <f>Table1_2[[#This Row],[Profit]]/Table1_2[[#This Row],[Sales]]</f>
        <v>-2.1034339385281292E-2</v>
      </c>
    </row>
    <row r="278" spans="1:18" x14ac:dyDescent="0.3">
      <c r="A278" t="s">
        <v>291</v>
      </c>
      <c r="B278" s="2">
        <v>44802</v>
      </c>
      <c r="C278" s="2">
        <v>44803</v>
      </c>
      <c r="D278" t="s">
        <v>1361</v>
      </c>
      <c r="E278" t="s">
        <v>1375</v>
      </c>
      <c r="F278" t="s">
        <v>1379</v>
      </c>
      <c r="G278" t="s">
        <v>1384</v>
      </c>
      <c r="H278" t="s">
        <v>1390</v>
      </c>
      <c r="I278" t="s">
        <v>1392</v>
      </c>
      <c r="J278" t="s">
        <v>1395</v>
      </c>
      <c r="K278" t="s">
        <v>1429</v>
      </c>
      <c r="L278">
        <v>125.02</v>
      </c>
      <c r="M278">
        <v>2</v>
      </c>
      <c r="N278">
        <v>0</v>
      </c>
      <c r="O278">
        <v>16.82</v>
      </c>
      <c r="P278">
        <v>62.51</v>
      </c>
      <c r="Q278">
        <f>Table1_2[[#This Row],[Ship Date]]-Table1_2[[#This Row],[order date]]</f>
        <v>1</v>
      </c>
      <c r="R278" s="3">
        <f>Table1_2[[#This Row],[Profit]]/Table1_2[[#This Row],[Sales]]</f>
        <v>0.13453847384418494</v>
      </c>
    </row>
    <row r="279" spans="1:18" x14ac:dyDescent="0.3">
      <c r="A279" t="s">
        <v>292</v>
      </c>
      <c r="B279" s="2">
        <v>44865</v>
      </c>
      <c r="C279" s="2">
        <v>44870</v>
      </c>
      <c r="D279" t="s">
        <v>1372</v>
      </c>
      <c r="E279" t="s">
        <v>1374</v>
      </c>
      <c r="F279" t="s">
        <v>1379</v>
      </c>
      <c r="G279" t="s">
        <v>1381</v>
      </c>
      <c r="H279" t="s">
        <v>1388</v>
      </c>
      <c r="I279" t="s">
        <v>1394</v>
      </c>
      <c r="J279" t="s">
        <v>1402</v>
      </c>
      <c r="K279" t="s">
        <v>1500</v>
      </c>
      <c r="L279">
        <v>137.77000000000001</v>
      </c>
      <c r="M279">
        <v>3</v>
      </c>
      <c r="N279">
        <v>0</v>
      </c>
      <c r="O279">
        <v>31.15</v>
      </c>
      <c r="P279">
        <v>45.923299999999998</v>
      </c>
      <c r="Q279">
        <f>Table1_2[[#This Row],[Ship Date]]-Table1_2[[#This Row],[order date]]</f>
        <v>5</v>
      </c>
      <c r="R279" s="3">
        <f>Table1_2[[#This Row],[Profit]]/Table1_2[[#This Row],[Sales]]</f>
        <v>0.22610147347027651</v>
      </c>
    </row>
    <row r="280" spans="1:18" x14ac:dyDescent="0.3">
      <c r="A280" t="s">
        <v>293</v>
      </c>
      <c r="B280" s="2">
        <v>45434</v>
      </c>
      <c r="C280" s="2">
        <v>45437</v>
      </c>
      <c r="D280" t="s">
        <v>1366</v>
      </c>
      <c r="E280" t="s">
        <v>1376</v>
      </c>
      <c r="F280" t="s">
        <v>1704</v>
      </c>
      <c r="G280" t="s">
        <v>1381</v>
      </c>
      <c r="H280" t="s">
        <v>1389</v>
      </c>
      <c r="I280" t="s">
        <v>1393</v>
      </c>
      <c r="J280" t="s">
        <v>1396</v>
      </c>
      <c r="K280" t="s">
        <v>1607</v>
      </c>
      <c r="L280">
        <v>221.2</v>
      </c>
      <c r="M280">
        <v>6</v>
      </c>
      <c r="N280">
        <v>0.2</v>
      </c>
      <c r="O280">
        <v>61.39</v>
      </c>
      <c r="P280">
        <v>36.866700000000002</v>
      </c>
      <c r="Q280">
        <f>Table1_2[[#This Row],[Ship Date]]-Table1_2[[#This Row],[order date]]</f>
        <v>3</v>
      </c>
      <c r="R280" s="3">
        <f>Table1_2[[#This Row],[Profit]]/Table1_2[[#This Row],[Sales]]</f>
        <v>0.27753164556962029</v>
      </c>
    </row>
    <row r="281" spans="1:18" hidden="1" x14ac:dyDescent="0.3">
      <c r="A281" t="s">
        <v>294</v>
      </c>
      <c r="B281" s="2"/>
      <c r="C281" s="2">
        <v>45034</v>
      </c>
      <c r="D281" t="s">
        <v>1369</v>
      </c>
      <c r="E281" t="s">
        <v>1375</v>
      </c>
      <c r="F281" t="s">
        <v>1704</v>
      </c>
      <c r="G281" t="s">
        <v>1383</v>
      </c>
      <c r="H281" t="s">
        <v>1389</v>
      </c>
      <c r="I281" t="s">
        <v>1394</v>
      </c>
      <c r="J281" t="s">
        <v>1398</v>
      </c>
      <c r="K281" t="s">
        <v>1515</v>
      </c>
      <c r="L281">
        <v>1023.79</v>
      </c>
      <c r="M281">
        <v>7</v>
      </c>
      <c r="N281">
        <v>0.1</v>
      </c>
      <c r="O281">
        <v>-146.88</v>
      </c>
      <c r="P281">
        <v>146.25569999999999</v>
      </c>
      <c r="Q281">
        <f>Table1_2[[#This Row],[Ship Date]]-Table1_2[[#This Row],[order date]]</f>
        <v>45034</v>
      </c>
      <c r="R281">
        <f>Table1_2[[#This Row],[Profit]]/Table1_2[[#This Row],[Sales]]</f>
        <v>-0.14346692192734839</v>
      </c>
    </row>
    <row r="282" spans="1:18" hidden="1" x14ac:dyDescent="0.3">
      <c r="A282" t="s">
        <v>295</v>
      </c>
      <c r="B282" s="2"/>
      <c r="C282" s="2">
        <v>45264</v>
      </c>
      <c r="D282" t="s">
        <v>1368</v>
      </c>
      <c r="E282" t="s">
        <v>1376</v>
      </c>
      <c r="F282" t="s">
        <v>1379</v>
      </c>
      <c r="G282" t="s">
        <v>1385</v>
      </c>
      <c r="H282" t="s">
        <v>1389</v>
      </c>
      <c r="I282" t="s">
        <v>1392</v>
      </c>
      <c r="J282" t="s">
        <v>1395</v>
      </c>
      <c r="K282" t="s">
        <v>1501</v>
      </c>
      <c r="L282">
        <v>468.11</v>
      </c>
      <c r="M282">
        <v>6</v>
      </c>
      <c r="N282">
        <v>0</v>
      </c>
      <c r="O282">
        <v>-86.88</v>
      </c>
      <c r="P282">
        <v>78.018299999999996</v>
      </c>
      <c r="Q282">
        <f>Table1_2[[#This Row],[Ship Date]]-Table1_2[[#This Row],[order date]]</f>
        <v>45264</v>
      </c>
      <c r="R282">
        <f>Table1_2[[#This Row],[Profit]]/Table1_2[[#This Row],[Sales]]</f>
        <v>-0.18559740231996752</v>
      </c>
    </row>
    <row r="283" spans="1:18" x14ac:dyDescent="0.3">
      <c r="A283" t="s">
        <v>296</v>
      </c>
      <c r="B283" s="2">
        <v>44626</v>
      </c>
      <c r="C283" s="2">
        <v>44631</v>
      </c>
      <c r="D283" t="s">
        <v>1362</v>
      </c>
      <c r="E283" t="s">
        <v>1374</v>
      </c>
      <c r="F283" t="s">
        <v>1379</v>
      </c>
      <c r="G283" t="s">
        <v>1385</v>
      </c>
      <c r="H283" t="s">
        <v>1390</v>
      </c>
      <c r="I283" t="s">
        <v>1393</v>
      </c>
      <c r="J283" t="s">
        <v>1399</v>
      </c>
      <c r="K283" t="s">
        <v>1516</v>
      </c>
      <c r="L283">
        <v>34.590000000000003</v>
      </c>
      <c r="M283">
        <v>9</v>
      </c>
      <c r="N283">
        <v>0</v>
      </c>
      <c r="O283">
        <v>5.6</v>
      </c>
      <c r="P283">
        <v>3.8433000000000002</v>
      </c>
      <c r="Q283">
        <f>Table1_2[[#This Row],[Ship Date]]-Table1_2[[#This Row],[order date]]</f>
        <v>5</v>
      </c>
      <c r="R283" s="3">
        <f>Table1_2[[#This Row],[Profit]]/Table1_2[[#This Row],[Sales]]</f>
        <v>0.1618965018791558</v>
      </c>
    </row>
    <row r="284" spans="1:18" x14ac:dyDescent="0.3">
      <c r="A284" t="s">
        <v>297</v>
      </c>
      <c r="B284" s="2">
        <v>44916</v>
      </c>
      <c r="C284" s="2">
        <v>44923</v>
      </c>
      <c r="D284" t="s">
        <v>1360</v>
      </c>
      <c r="E284" t="s">
        <v>1376</v>
      </c>
      <c r="F284" t="s">
        <v>1704</v>
      </c>
      <c r="G284" t="s">
        <v>1381</v>
      </c>
      <c r="H284" t="s">
        <v>1389</v>
      </c>
      <c r="I284" t="s">
        <v>1392</v>
      </c>
      <c r="J284" t="s">
        <v>1395</v>
      </c>
      <c r="K284" t="s">
        <v>1525</v>
      </c>
      <c r="L284">
        <v>1072.6300000000001</v>
      </c>
      <c r="M284">
        <v>10</v>
      </c>
      <c r="N284">
        <v>0</v>
      </c>
      <c r="O284">
        <v>-208.28</v>
      </c>
      <c r="P284">
        <v>107.26300000000001</v>
      </c>
      <c r="Q284">
        <f>Table1_2[[#This Row],[Ship Date]]-Table1_2[[#This Row],[order date]]</f>
        <v>7</v>
      </c>
      <c r="R284" s="3">
        <f>Table1_2[[#This Row],[Profit]]/Table1_2[[#This Row],[Sales]]</f>
        <v>-0.19417692960293856</v>
      </c>
    </row>
    <row r="285" spans="1:18" x14ac:dyDescent="0.3">
      <c r="A285" t="s">
        <v>298</v>
      </c>
      <c r="B285" s="2">
        <v>44808</v>
      </c>
      <c r="C285" s="2">
        <v>44814</v>
      </c>
      <c r="D285" t="s">
        <v>1366</v>
      </c>
      <c r="E285" t="s">
        <v>1376</v>
      </c>
      <c r="F285" t="s">
        <v>1704</v>
      </c>
      <c r="G285" t="s">
        <v>1381</v>
      </c>
      <c r="H285" t="s">
        <v>1389</v>
      </c>
      <c r="I285" t="s">
        <v>1394</v>
      </c>
      <c r="J285" t="s">
        <v>1402</v>
      </c>
      <c r="K285" t="s">
        <v>1551</v>
      </c>
      <c r="L285">
        <v>618.17999999999995</v>
      </c>
      <c r="M285">
        <v>9</v>
      </c>
      <c r="N285">
        <v>0.2</v>
      </c>
      <c r="O285">
        <v>1.01</v>
      </c>
      <c r="P285">
        <v>68.686700000000002</v>
      </c>
      <c r="Q285">
        <f>Table1_2[[#This Row],[Ship Date]]-Table1_2[[#This Row],[order date]]</f>
        <v>6</v>
      </c>
      <c r="R285" s="3">
        <f>Table1_2[[#This Row],[Profit]]/Table1_2[[#This Row],[Sales]]</f>
        <v>1.6338283347892201E-3</v>
      </c>
    </row>
    <row r="286" spans="1:18" hidden="1" x14ac:dyDescent="0.3">
      <c r="A286" t="s">
        <v>299</v>
      </c>
      <c r="B286" s="2"/>
      <c r="C286" s="2">
        <v>44887</v>
      </c>
      <c r="D286" t="s">
        <v>1359</v>
      </c>
      <c r="E286" t="s">
        <v>1375</v>
      </c>
      <c r="F286" t="s">
        <v>1379</v>
      </c>
      <c r="G286" t="s">
        <v>1383</v>
      </c>
      <c r="H286" t="s">
        <v>1390</v>
      </c>
      <c r="I286" t="s">
        <v>1394</v>
      </c>
      <c r="J286" t="s">
        <v>1398</v>
      </c>
      <c r="K286" t="s">
        <v>1456</v>
      </c>
      <c r="L286">
        <v>790.98</v>
      </c>
      <c r="M286">
        <v>2</v>
      </c>
      <c r="N286">
        <v>0.2</v>
      </c>
      <c r="O286">
        <v>4.88</v>
      </c>
      <c r="P286">
        <v>395.49</v>
      </c>
      <c r="Q286">
        <f>Table1_2[[#This Row],[Ship Date]]-Table1_2[[#This Row],[order date]]</f>
        <v>44887</v>
      </c>
      <c r="R286">
        <f>Table1_2[[#This Row],[Profit]]/Table1_2[[#This Row],[Sales]]</f>
        <v>6.1695618094009964E-3</v>
      </c>
    </row>
    <row r="287" spans="1:18" hidden="1" x14ac:dyDescent="0.3">
      <c r="A287" t="s">
        <v>300</v>
      </c>
      <c r="B287" s="2"/>
      <c r="C287" s="2">
        <v>45257</v>
      </c>
      <c r="D287" t="s">
        <v>1360</v>
      </c>
      <c r="E287" t="s">
        <v>1374</v>
      </c>
      <c r="F287" t="s">
        <v>1379</v>
      </c>
      <c r="G287" t="s">
        <v>1382</v>
      </c>
      <c r="H287" t="s">
        <v>1389</v>
      </c>
      <c r="I287" t="s">
        <v>1394</v>
      </c>
      <c r="J287" t="s">
        <v>1403</v>
      </c>
      <c r="K287" t="s">
        <v>1608</v>
      </c>
      <c r="L287">
        <v>993.87</v>
      </c>
      <c r="M287">
        <v>4</v>
      </c>
      <c r="N287">
        <v>0.2</v>
      </c>
      <c r="O287">
        <v>-33.81</v>
      </c>
      <c r="P287">
        <v>248.4675</v>
      </c>
      <c r="Q287">
        <f>Table1_2[[#This Row],[Ship Date]]-Table1_2[[#This Row],[order date]]</f>
        <v>45257</v>
      </c>
      <c r="R287">
        <f>Table1_2[[#This Row],[Profit]]/Table1_2[[#This Row],[Sales]]</f>
        <v>-3.4018533611035649E-2</v>
      </c>
    </row>
    <row r="288" spans="1:18" hidden="1" x14ac:dyDescent="0.3">
      <c r="A288" t="s">
        <v>301</v>
      </c>
      <c r="B288" s="2">
        <v>44838</v>
      </c>
      <c r="C288" s="2">
        <v>44665</v>
      </c>
      <c r="D288" t="s">
        <v>1369</v>
      </c>
      <c r="E288" t="s">
        <v>1375</v>
      </c>
      <c r="F288" t="s">
        <v>1704</v>
      </c>
      <c r="G288" t="s">
        <v>1387</v>
      </c>
      <c r="H288" t="s">
        <v>1389</v>
      </c>
      <c r="I288" t="s">
        <v>1392</v>
      </c>
      <c r="J288" t="s">
        <v>1397</v>
      </c>
      <c r="K288" t="s">
        <v>1609</v>
      </c>
      <c r="L288">
        <v>439.06</v>
      </c>
      <c r="M288">
        <v>5</v>
      </c>
      <c r="N288">
        <v>0</v>
      </c>
      <c r="O288">
        <v>26.78</v>
      </c>
      <c r="P288">
        <v>87.811999999999998</v>
      </c>
      <c r="Q288">
        <f>Table1_2[[#This Row],[Ship Date]]-Table1_2[[#This Row],[order date]]</f>
        <v>-173</v>
      </c>
      <c r="R288">
        <f>Table1_2[[#This Row],[Profit]]/Table1_2[[#This Row],[Sales]]</f>
        <v>6.0993941602514465E-2</v>
      </c>
    </row>
    <row r="289" spans="1:18" x14ac:dyDescent="0.3">
      <c r="A289" t="s">
        <v>302</v>
      </c>
      <c r="B289" s="2">
        <v>44822</v>
      </c>
      <c r="C289" s="2">
        <v>44832</v>
      </c>
      <c r="D289" t="s">
        <v>1371</v>
      </c>
      <c r="E289" t="s">
        <v>1376</v>
      </c>
      <c r="F289" t="s">
        <v>1379</v>
      </c>
      <c r="G289" t="s">
        <v>1382</v>
      </c>
      <c r="H289" t="s">
        <v>1388</v>
      </c>
      <c r="I289" t="s">
        <v>1392</v>
      </c>
      <c r="J289" t="s">
        <v>1401</v>
      </c>
      <c r="K289" t="s">
        <v>1610</v>
      </c>
      <c r="L289">
        <v>162.47999999999999</v>
      </c>
      <c r="M289">
        <v>7</v>
      </c>
      <c r="N289">
        <v>0.1</v>
      </c>
      <c r="O289">
        <v>4.63</v>
      </c>
      <c r="P289">
        <v>23.211400000000001</v>
      </c>
      <c r="Q289">
        <f>Table1_2[[#This Row],[Ship Date]]-Table1_2[[#This Row],[order date]]</f>
        <v>10</v>
      </c>
      <c r="R289" s="3">
        <f>Table1_2[[#This Row],[Profit]]/Table1_2[[#This Row],[Sales]]</f>
        <v>2.8495814869522403E-2</v>
      </c>
    </row>
    <row r="290" spans="1:18" hidden="1" x14ac:dyDescent="0.3">
      <c r="A290" t="s">
        <v>303</v>
      </c>
      <c r="B290" s="2">
        <v>45111</v>
      </c>
      <c r="C290" s="2">
        <v>45031</v>
      </c>
      <c r="D290" t="s">
        <v>1361</v>
      </c>
      <c r="E290" t="s">
        <v>1376</v>
      </c>
      <c r="F290" t="s">
        <v>1704</v>
      </c>
      <c r="G290" t="s">
        <v>1383</v>
      </c>
      <c r="H290" t="s">
        <v>1390</v>
      </c>
      <c r="I290" t="s">
        <v>1393</v>
      </c>
      <c r="J290" t="s">
        <v>1396</v>
      </c>
      <c r="K290" t="s">
        <v>1611</v>
      </c>
      <c r="L290">
        <v>1148.3</v>
      </c>
      <c r="M290">
        <v>3</v>
      </c>
      <c r="N290">
        <v>0.2</v>
      </c>
      <c r="O290">
        <v>-227.17</v>
      </c>
      <c r="P290">
        <v>382.76670000000001</v>
      </c>
      <c r="Q290">
        <f>Table1_2[[#This Row],[Ship Date]]-Table1_2[[#This Row],[order date]]</f>
        <v>-80</v>
      </c>
      <c r="R290">
        <f>Table1_2[[#This Row],[Profit]]/Table1_2[[#This Row],[Sales]]</f>
        <v>-0.1978315771139946</v>
      </c>
    </row>
    <row r="291" spans="1:18" hidden="1" x14ac:dyDescent="0.3">
      <c r="A291" t="s">
        <v>304</v>
      </c>
      <c r="B291" s="2"/>
      <c r="C291" s="2">
        <v>45157</v>
      </c>
      <c r="D291" t="s">
        <v>1373</v>
      </c>
      <c r="E291" t="s">
        <v>1374</v>
      </c>
      <c r="F291" t="s">
        <v>1704</v>
      </c>
      <c r="G291" t="s">
        <v>1384</v>
      </c>
      <c r="H291" t="s">
        <v>1389</v>
      </c>
      <c r="I291" t="s">
        <v>1393</v>
      </c>
      <c r="J291" t="s">
        <v>1400</v>
      </c>
      <c r="K291" t="s">
        <v>1606</v>
      </c>
      <c r="L291">
        <v>142.19</v>
      </c>
      <c r="M291">
        <v>10</v>
      </c>
      <c r="N291">
        <v>0</v>
      </c>
      <c r="O291">
        <v>34.32</v>
      </c>
      <c r="P291">
        <v>14.218999999999999</v>
      </c>
      <c r="Q291">
        <f>Table1_2[[#This Row],[Ship Date]]-Table1_2[[#This Row],[order date]]</f>
        <v>45157</v>
      </c>
      <c r="R291">
        <f>Table1_2[[#This Row],[Profit]]/Table1_2[[#This Row],[Sales]]</f>
        <v>0.24136718475279556</v>
      </c>
    </row>
    <row r="292" spans="1:18" hidden="1" x14ac:dyDescent="0.3">
      <c r="A292" t="s">
        <v>305</v>
      </c>
      <c r="B292" s="2"/>
      <c r="C292" s="2">
        <v>44871</v>
      </c>
      <c r="D292" t="s">
        <v>1362</v>
      </c>
      <c r="E292" t="s">
        <v>1374</v>
      </c>
      <c r="F292" t="s">
        <v>1704</v>
      </c>
      <c r="G292" t="s">
        <v>1387</v>
      </c>
      <c r="H292" t="s">
        <v>1390</v>
      </c>
      <c r="I292" t="s">
        <v>1392</v>
      </c>
      <c r="J292" t="s">
        <v>1401</v>
      </c>
      <c r="K292" t="s">
        <v>1612</v>
      </c>
      <c r="L292">
        <v>507.04</v>
      </c>
      <c r="M292">
        <v>9</v>
      </c>
      <c r="N292">
        <v>0.15</v>
      </c>
      <c r="O292">
        <v>112.33</v>
      </c>
      <c r="P292">
        <v>56.337800000000001</v>
      </c>
      <c r="Q292">
        <f>Table1_2[[#This Row],[Ship Date]]-Table1_2[[#This Row],[order date]]</f>
        <v>44871</v>
      </c>
      <c r="R292">
        <f>Table1_2[[#This Row],[Profit]]/Table1_2[[#This Row],[Sales]]</f>
        <v>0.22154070684758598</v>
      </c>
    </row>
    <row r="293" spans="1:18" hidden="1" x14ac:dyDescent="0.3">
      <c r="A293" t="s">
        <v>306</v>
      </c>
      <c r="B293" s="2">
        <v>45323</v>
      </c>
      <c r="C293" s="2">
        <v>45298</v>
      </c>
      <c r="D293" t="s">
        <v>1362</v>
      </c>
      <c r="E293" t="s">
        <v>1375</v>
      </c>
      <c r="F293" t="s">
        <v>1379</v>
      </c>
      <c r="G293" t="s">
        <v>1383</v>
      </c>
      <c r="H293" t="s">
        <v>1389</v>
      </c>
      <c r="I293" t="s">
        <v>1393</v>
      </c>
      <c r="J293" t="s">
        <v>1399</v>
      </c>
      <c r="K293" t="s">
        <v>1548</v>
      </c>
      <c r="L293">
        <v>1107.01</v>
      </c>
      <c r="M293">
        <v>3</v>
      </c>
      <c r="N293">
        <v>0.1</v>
      </c>
      <c r="O293">
        <v>57.51</v>
      </c>
      <c r="P293">
        <v>369.00330000000002</v>
      </c>
      <c r="Q293">
        <f>Table1_2[[#This Row],[Ship Date]]-Table1_2[[#This Row],[order date]]</f>
        <v>-25</v>
      </c>
      <c r="R293">
        <f>Table1_2[[#This Row],[Profit]]/Table1_2[[#This Row],[Sales]]</f>
        <v>5.1950750219058546E-2</v>
      </c>
    </row>
    <row r="294" spans="1:18" x14ac:dyDescent="0.3">
      <c r="A294" t="s">
        <v>307</v>
      </c>
      <c r="B294" s="2">
        <v>45146</v>
      </c>
      <c r="C294" s="2">
        <v>45153</v>
      </c>
      <c r="D294" t="s">
        <v>1361</v>
      </c>
      <c r="E294" t="s">
        <v>1375</v>
      </c>
      <c r="F294" t="s">
        <v>1379</v>
      </c>
      <c r="G294" t="s">
        <v>1385</v>
      </c>
      <c r="H294" t="s">
        <v>1390</v>
      </c>
      <c r="I294" t="s">
        <v>1393</v>
      </c>
      <c r="J294" t="s">
        <v>1396</v>
      </c>
      <c r="K294" t="s">
        <v>1451</v>
      </c>
      <c r="L294">
        <v>1074.76</v>
      </c>
      <c r="M294">
        <v>9</v>
      </c>
      <c r="N294">
        <v>0.15</v>
      </c>
      <c r="O294">
        <v>256.58999999999997</v>
      </c>
      <c r="P294">
        <v>119.4178</v>
      </c>
      <c r="Q294">
        <f>Table1_2[[#This Row],[Ship Date]]-Table1_2[[#This Row],[order date]]</f>
        <v>7</v>
      </c>
      <c r="R294" s="3">
        <f>Table1_2[[#This Row],[Profit]]/Table1_2[[#This Row],[Sales]]</f>
        <v>0.23874167255945511</v>
      </c>
    </row>
    <row r="295" spans="1:18" x14ac:dyDescent="0.3">
      <c r="A295" t="s">
        <v>308</v>
      </c>
      <c r="B295" s="2">
        <v>45248</v>
      </c>
      <c r="C295" s="2">
        <v>45249</v>
      </c>
      <c r="D295" t="s">
        <v>1361</v>
      </c>
      <c r="E295" t="s">
        <v>1376</v>
      </c>
      <c r="F295" t="s">
        <v>1704</v>
      </c>
      <c r="G295" t="s">
        <v>1386</v>
      </c>
      <c r="H295" t="s">
        <v>1388</v>
      </c>
      <c r="I295" t="s">
        <v>1392</v>
      </c>
      <c r="J295" t="s">
        <v>1397</v>
      </c>
      <c r="K295" t="s">
        <v>1521</v>
      </c>
      <c r="L295">
        <v>905.22</v>
      </c>
      <c r="M295">
        <v>3</v>
      </c>
      <c r="N295">
        <v>0.15</v>
      </c>
      <c r="O295">
        <v>128.27000000000001</v>
      </c>
      <c r="P295">
        <v>301.74</v>
      </c>
      <c r="Q295">
        <f>Table1_2[[#This Row],[Ship Date]]-Table1_2[[#This Row],[order date]]</f>
        <v>1</v>
      </c>
      <c r="R295" s="3">
        <f>Table1_2[[#This Row],[Profit]]/Table1_2[[#This Row],[Sales]]</f>
        <v>0.14170036013344822</v>
      </c>
    </row>
    <row r="296" spans="1:18" hidden="1" x14ac:dyDescent="0.3">
      <c r="A296" t="s">
        <v>309</v>
      </c>
      <c r="B296" s="2"/>
      <c r="C296" s="2">
        <v>45403</v>
      </c>
      <c r="D296" t="s">
        <v>1367</v>
      </c>
      <c r="E296" t="s">
        <v>1374</v>
      </c>
      <c r="F296" t="s">
        <v>1379</v>
      </c>
      <c r="G296" t="s">
        <v>1382</v>
      </c>
      <c r="H296" t="s">
        <v>1388</v>
      </c>
      <c r="I296" t="s">
        <v>1392</v>
      </c>
      <c r="J296" t="s">
        <v>1395</v>
      </c>
      <c r="K296" t="s">
        <v>1431</v>
      </c>
      <c r="L296">
        <v>1044.28</v>
      </c>
      <c r="M296">
        <v>9</v>
      </c>
      <c r="N296">
        <v>0.1</v>
      </c>
      <c r="O296">
        <v>178.79</v>
      </c>
      <c r="P296">
        <v>116.0311</v>
      </c>
      <c r="Q296">
        <f>Table1_2[[#This Row],[Ship Date]]-Table1_2[[#This Row],[order date]]</f>
        <v>45403</v>
      </c>
      <c r="R296">
        <f>Table1_2[[#This Row],[Profit]]/Table1_2[[#This Row],[Sales]]</f>
        <v>0.17120887118397365</v>
      </c>
    </row>
    <row r="297" spans="1:18" x14ac:dyDescent="0.3">
      <c r="A297" t="s">
        <v>310</v>
      </c>
      <c r="B297" s="2">
        <v>44958</v>
      </c>
      <c r="C297" s="2">
        <v>44965</v>
      </c>
      <c r="D297" t="s">
        <v>1360</v>
      </c>
      <c r="E297" t="s">
        <v>1375</v>
      </c>
      <c r="F297" t="s">
        <v>1379</v>
      </c>
      <c r="G297" t="s">
        <v>1386</v>
      </c>
      <c r="H297" t="s">
        <v>1390</v>
      </c>
      <c r="I297" t="s">
        <v>1393</v>
      </c>
      <c r="J297" t="s">
        <v>1399</v>
      </c>
      <c r="K297" t="s">
        <v>1613</v>
      </c>
      <c r="L297">
        <v>1159.68</v>
      </c>
      <c r="M297">
        <v>1</v>
      </c>
      <c r="N297">
        <v>0</v>
      </c>
      <c r="O297">
        <v>199.27</v>
      </c>
      <c r="P297">
        <v>1159.68</v>
      </c>
      <c r="Q297">
        <f>Table1_2[[#This Row],[Ship Date]]-Table1_2[[#This Row],[order date]]</f>
        <v>7</v>
      </c>
      <c r="R297" s="3">
        <f>Table1_2[[#This Row],[Profit]]/Table1_2[[#This Row],[Sales]]</f>
        <v>0.17183188465783664</v>
      </c>
    </row>
    <row r="298" spans="1:18" hidden="1" x14ac:dyDescent="0.3">
      <c r="A298" t="s">
        <v>311</v>
      </c>
      <c r="B298" s="2"/>
      <c r="C298" s="2">
        <v>45308</v>
      </c>
      <c r="D298" t="s">
        <v>1359</v>
      </c>
      <c r="E298" t="s">
        <v>1376</v>
      </c>
      <c r="F298" t="s">
        <v>1379</v>
      </c>
      <c r="G298" t="s">
        <v>1385</v>
      </c>
      <c r="H298" t="s">
        <v>1391</v>
      </c>
      <c r="I298" t="s">
        <v>1394</v>
      </c>
      <c r="J298" t="s">
        <v>1403</v>
      </c>
      <c r="K298" t="s">
        <v>1614</v>
      </c>
      <c r="L298">
        <v>229.36</v>
      </c>
      <c r="M298">
        <v>2</v>
      </c>
      <c r="N298">
        <v>0.1</v>
      </c>
      <c r="O298">
        <v>64.5</v>
      </c>
      <c r="P298">
        <v>114.68</v>
      </c>
      <c r="Q298">
        <f>Table1_2[[#This Row],[Ship Date]]-Table1_2[[#This Row],[order date]]</f>
        <v>45308</v>
      </c>
      <c r="R298">
        <f>Table1_2[[#This Row],[Profit]]/Table1_2[[#This Row],[Sales]]</f>
        <v>0.28121730031391695</v>
      </c>
    </row>
    <row r="299" spans="1:18" x14ac:dyDescent="0.3">
      <c r="A299" t="s">
        <v>312</v>
      </c>
      <c r="B299" s="2">
        <v>44832</v>
      </c>
      <c r="C299" s="2">
        <v>44835</v>
      </c>
      <c r="D299" t="s">
        <v>1369</v>
      </c>
      <c r="E299" t="s">
        <v>1376</v>
      </c>
      <c r="F299" t="s">
        <v>1379</v>
      </c>
      <c r="G299" t="s">
        <v>1386</v>
      </c>
      <c r="H299" t="s">
        <v>1391</v>
      </c>
      <c r="I299" t="s">
        <v>1392</v>
      </c>
      <c r="J299" t="s">
        <v>1395</v>
      </c>
      <c r="K299" t="s">
        <v>1615</v>
      </c>
      <c r="L299">
        <v>1018.3</v>
      </c>
      <c r="M299">
        <v>1</v>
      </c>
      <c r="N299">
        <v>0.15</v>
      </c>
      <c r="O299">
        <v>33.770000000000003</v>
      </c>
      <c r="P299">
        <v>1018.3</v>
      </c>
      <c r="Q299">
        <f>Table1_2[[#This Row],[Ship Date]]-Table1_2[[#This Row],[order date]]</f>
        <v>3</v>
      </c>
      <c r="R299" s="3">
        <f>Table1_2[[#This Row],[Profit]]/Table1_2[[#This Row],[Sales]]</f>
        <v>3.3163114995580875E-2</v>
      </c>
    </row>
    <row r="300" spans="1:18" x14ac:dyDescent="0.3">
      <c r="A300" t="s">
        <v>313</v>
      </c>
      <c r="B300" s="2">
        <v>45370</v>
      </c>
      <c r="C300" s="2">
        <v>45380</v>
      </c>
      <c r="D300" t="s">
        <v>1359</v>
      </c>
      <c r="E300" t="s">
        <v>1374</v>
      </c>
      <c r="F300" t="s">
        <v>1704</v>
      </c>
      <c r="G300" t="s">
        <v>1385</v>
      </c>
      <c r="H300" t="s">
        <v>1389</v>
      </c>
      <c r="I300" t="s">
        <v>1393</v>
      </c>
      <c r="J300" t="s">
        <v>1399</v>
      </c>
      <c r="K300" t="s">
        <v>1487</v>
      </c>
      <c r="L300">
        <v>106</v>
      </c>
      <c r="M300">
        <v>6</v>
      </c>
      <c r="N300">
        <v>0</v>
      </c>
      <c r="O300">
        <v>-9.5399999999999991</v>
      </c>
      <c r="P300">
        <v>17.666699999999999</v>
      </c>
      <c r="Q300">
        <f>Table1_2[[#This Row],[Ship Date]]-Table1_2[[#This Row],[order date]]</f>
        <v>10</v>
      </c>
      <c r="R300" s="3">
        <f>Table1_2[[#This Row],[Profit]]/Table1_2[[#This Row],[Sales]]</f>
        <v>-0.09</v>
      </c>
    </row>
    <row r="301" spans="1:18" hidden="1" x14ac:dyDescent="0.3">
      <c r="A301" t="s">
        <v>314</v>
      </c>
      <c r="B301" s="2"/>
      <c r="C301" s="2">
        <v>44923</v>
      </c>
      <c r="D301" t="s">
        <v>1360</v>
      </c>
      <c r="E301" t="s">
        <v>1374</v>
      </c>
      <c r="F301" t="s">
        <v>1379</v>
      </c>
      <c r="G301" t="s">
        <v>1381</v>
      </c>
      <c r="H301" t="s">
        <v>1391</v>
      </c>
      <c r="I301" t="s">
        <v>1392</v>
      </c>
      <c r="J301" t="s">
        <v>1395</v>
      </c>
      <c r="K301" t="s">
        <v>1616</v>
      </c>
      <c r="L301">
        <v>411.62</v>
      </c>
      <c r="M301">
        <v>6</v>
      </c>
      <c r="N301">
        <v>0.15</v>
      </c>
      <c r="O301">
        <v>-37.369999999999997</v>
      </c>
      <c r="P301">
        <v>68.603300000000004</v>
      </c>
      <c r="Q301">
        <f>Table1_2[[#This Row],[Ship Date]]-Table1_2[[#This Row],[order date]]</f>
        <v>44923</v>
      </c>
      <c r="R301">
        <f>Table1_2[[#This Row],[Profit]]/Table1_2[[#This Row],[Sales]]</f>
        <v>-9.0787619649190993E-2</v>
      </c>
    </row>
    <row r="302" spans="1:18" x14ac:dyDescent="0.3">
      <c r="A302" t="s">
        <v>315</v>
      </c>
      <c r="B302" s="2">
        <v>44808</v>
      </c>
      <c r="C302" s="2">
        <v>44818</v>
      </c>
      <c r="D302" t="s">
        <v>1373</v>
      </c>
      <c r="E302" t="s">
        <v>1374</v>
      </c>
      <c r="F302" t="s">
        <v>1379</v>
      </c>
      <c r="G302" t="s">
        <v>1381</v>
      </c>
      <c r="H302" t="s">
        <v>1391</v>
      </c>
      <c r="I302" t="s">
        <v>1393</v>
      </c>
      <c r="J302" t="s">
        <v>1400</v>
      </c>
      <c r="K302" t="s">
        <v>1463</v>
      </c>
      <c r="L302">
        <v>1151.5</v>
      </c>
      <c r="M302">
        <v>6</v>
      </c>
      <c r="N302">
        <v>0.2</v>
      </c>
      <c r="O302">
        <v>297.05</v>
      </c>
      <c r="P302">
        <v>191.91669999999999</v>
      </c>
      <c r="Q302">
        <f>Table1_2[[#This Row],[Ship Date]]-Table1_2[[#This Row],[order date]]</f>
        <v>10</v>
      </c>
      <c r="R302" s="3">
        <f>Table1_2[[#This Row],[Profit]]/Table1_2[[#This Row],[Sales]]</f>
        <v>0.25796786799826316</v>
      </c>
    </row>
    <row r="303" spans="1:18" x14ac:dyDescent="0.3">
      <c r="A303" t="s">
        <v>316</v>
      </c>
      <c r="B303" s="2">
        <v>45384</v>
      </c>
      <c r="C303" s="2">
        <v>45393</v>
      </c>
      <c r="D303" t="s">
        <v>1370</v>
      </c>
      <c r="E303" t="s">
        <v>1374</v>
      </c>
      <c r="F303" t="s">
        <v>1379</v>
      </c>
      <c r="G303" t="s">
        <v>1382</v>
      </c>
      <c r="H303" t="s">
        <v>1388</v>
      </c>
      <c r="I303" t="s">
        <v>1394</v>
      </c>
      <c r="J303" t="s">
        <v>1403</v>
      </c>
      <c r="K303" t="s">
        <v>1617</v>
      </c>
      <c r="L303">
        <v>71.739999999999995</v>
      </c>
      <c r="M303">
        <v>4</v>
      </c>
      <c r="N303">
        <v>0.15</v>
      </c>
      <c r="O303">
        <v>4.09</v>
      </c>
      <c r="P303">
        <v>17.934999999999999</v>
      </c>
      <c r="Q303">
        <f>Table1_2[[#This Row],[Ship Date]]-Table1_2[[#This Row],[order date]]</f>
        <v>9</v>
      </c>
      <c r="R303" s="3">
        <f>Table1_2[[#This Row],[Profit]]/Table1_2[[#This Row],[Sales]]</f>
        <v>5.701143016448286E-2</v>
      </c>
    </row>
    <row r="304" spans="1:18" hidden="1" x14ac:dyDescent="0.3">
      <c r="A304" t="s">
        <v>317</v>
      </c>
      <c r="B304" s="2"/>
      <c r="C304" s="2">
        <v>45252</v>
      </c>
      <c r="D304" t="s">
        <v>1365</v>
      </c>
      <c r="E304" t="s">
        <v>1375</v>
      </c>
      <c r="F304" t="s">
        <v>1704</v>
      </c>
      <c r="G304" t="s">
        <v>1381</v>
      </c>
      <c r="H304" t="s">
        <v>1389</v>
      </c>
      <c r="I304" t="s">
        <v>1393</v>
      </c>
      <c r="J304" t="s">
        <v>1399</v>
      </c>
      <c r="K304" t="s">
        <v>1618</v>
      </c>
      <c r="L304">
        <v>1006.08</v>
      </c>
      <c r="M304">
        <v>4</v>
      </c>
      <c r="N304">
        <v>0</v>
      </c>
      <c r="O304">
        <v>215.68</v>
      </c>
      <c r="P304">
        <v>251.52</v>
      </c>
      <c r="Q304">
        <f>Table1_2[[#This Row],[Ship Date]]-Table1_2[[#This Row],[order date]]</f>
        <v>45252</v>
      </c>
      <c r="R304">
        <f>Table1_2[[#This Row],[Profit]]/Table1_2[[#This Row],[Sales]]</f>
        <v>0.21437659033078879</v>
      </c>
    </row>
    <row r="305" spans="1:18" x14ac:dyDescent="0.3">
      <c r="A305" t="s">
        <v>318</v>
      </c>
      <c r="B305" s="2">
        <v>44901</v>
      </c>
      <c r="C305" s="2">
        <v>44902</v>
      </c>
      <c r="D305" t="s">
        <v>1372</v>
      </c>
      <c r="E305" t="s">
        <v>1376</v>
      </c>
      <c r="F305" t="s">
        <v>1704</v>
      </c>
      <c r="G305" t="s">
        <v>1382</v>
      </c>
      <c r="H305" t="s">
        <v>1389</v>
      </c>
      <c r="I305" t="s">
        <v>1392</v>
      </c>
      <c r="J305" t="s">
        <v>1401</v>
      </c>
      <c r="K305" t="s">
        <v>1619</v>
      </c>
      <c r="L305">
        <v>84.04</v>
      </c>
      <c r="M305">
        <v>5</v>
      </c>
      <c r="N305">
        <v>0</v>
      </c>
      <c r="O305">
        <v>-13.85</v>
      </c>
      <c r="P305">
        <v>16.808</v>
      </c>
      <c r="Q305">
        <f>Table1_2[[#This Row],[Ship Date]]-Table1_2[[#This Row],[order date]]</f>
        <v>1</v>
      </c>
      <c r="R305" s="3">
        <f>Table1_2[[#This Row],[Profit]]/Table1_2[[#This Row],[Sales]]</f>
        <v>-0.16480247501189907</v>
      </c>
    </row>
    <row r="306" spans="1:18" hidden="1" x14ac:dyDescent="0.3">
      <c r="A306" t="s">
        <v>319</v>
      </c>
      <c r="B306" s="2"/>
      <c r="C306" s="2">
        <v>44886</v>
      </c>
      <c r="D306" t="s">
        <v>1359</v>
      </c>
      <c r="E306" t="s">
        <v>1374</v>
      </c>
      <c r="F306" t="s">
        <v>1379</v>
      </c>
      <c r="G306" t="s">
        <v>1384</v>
      </c>
      <c r="H306" t="s">
        <v>1388</v>
      </c>
      <c r="I306" t="s">
        <v>1394</v>
      </c>
      <c r="J306" t="s">
        <v>1398</v>
      </c>
      <c r="K306" t="s">
        <v>1492</v>
      </c>
      <c r="L306">
        <v>159.6</v>
      </c>
      <c r="M306">
        <v>1</v>
      </c>
      <c r="N306">
        <v>0</v>
      </c>
      <c r="O306">
        <v>-26.87</v>
      </c>
      <c r="P306">
        <v>159.6</v>
      </c>
      <c r="Q306">
        <f>Table1_2[[#This Row],[Ship Date]]-Table1_2[[#This Row],[order date]]</f>
        <v>44886</v>
      </c>
      <c r="R306">
        <f>Table1_2[[#This Row],[Profit]]/Table1_2[[#This Row],[Sales]]</f>
        <v>-0.16835839598997496</v>
      </c>
    </row>
    <row r="307" spans="1:18" hidden="1" x14ac:dyDescent="0.3">
      <c r="A307" t="s">
        <v>320</v>
      </c>
      <c r="B307" s="2"/>
      <c r="C307" s="2">
        <v>45372</v>
      </c>
      <c r="D307" t="s">
        <v>1366</v>
      </c>
      <c r="E307" t="s">
        <v>1375</v>
      </c>
      <c r="F307" t="s">
        <v>1704</v>
      </c>
      <c r="G307" t="s">
        <v>1387</v>
      </c>
      <c r="H307" t="s">
        <v>1389</v>
      </c>
      <c r="I307" t="s">
        <v>1393</v>
      </c>
      <c r="J307" t="s">
        <v>1400</v>
      </c>
      <c r="K307" t="s">
        <v>1413</v>
      </c>
      <c r="L307">
        <v>352.19</v>
      </c>
      <c r="M307">
        <v>8</v>
      </c>
      <c r="N307">
        <v>0.2</v>
      </c>
      <c r="O307">
        <v>-0.86</v>
      </c>
      <c r="P307">
        <v>44.023699999999998</v>
      </c>
      <c r="Q307">
        <f>Table1_2[[#This Row],[Ship Date]]-Table1_2[[#This Row],[order date]]</f>
        <v>45372</v>
      </c>
      <c r="R307">
        <f>Table1_2[[#This Row],[Profit]]/Table1_2[[#This Row],[Sales]]</f>
        <v>-2.4418637667168288E-3</v>
      </c>
    </row>
    <row r="308" spans="1:18" hidden="1" x14ac:dyDescent="0.3">
      <c r="A308" t="s">
        <v>321</v>
      </c>
      <c r="B308" s="2"/>
      <c r="C308" s="2">
        <v>44867</v>
      </c>
      <c r="D308" t="s">
        <v>1363</v>
      </c>
      <c r="E308" t="s">
        <v>1375</v>
      </c>
      <c r="F308" t="s">
        <v>1379</v>
      </c>
      <c r="G308" t="s">
        <v>1383</v>
      </c>
      <c r="H308" t="s">
        <v>1389</v>
      </c>
      <c r="I308" t="s">
        <v>1394</v>
      </c>
      <c r="J308" t="s">
        <v>1398</v>
      </c>
      <c r="K308" t="s">
        <v>1408</v>
      </c>
      <c r="L308">
        <v>1066.6300000000001</v>
      </c>
      <c r="M308">
        <v>6</v>
      </c>
      <c r="N308">
        <v>0</v>
      </c>
      <c r="O308">
        <v>81.88</v>
      </c>
      <c r="P308">
        <v>177.77170000000001</v>
      </c>
      <c r="Q308">
        <f>Table1_2[[#This Row],[Ship Date]]-Table1_2[[#This Row],[order date]]</f>
        <v>44867</v>
      </c>
      <c r="R308">
        <f>Table1_2[[#This Row],[Profit]]/Table1_2[[#This Row],[Sales]]</f>
        <v>7.6765138801646288E-2</v>
      </c>
    </row>
    <row r="309" spans="1:18" hidden="1" x14ac:dyDescent="0.3">
      <c r="A309" t="s">
        <v>322</v>
      </c>
      <c r="B309" s="2"/>
      <c r="C309" s="2">
        <v>45124</v>
      </c>
      <c r="D309" t="s">
        <v>1359</v>
      </c>
      <c r="E309" t="s">
        <v>1375</v>
      </c>
      <c r="F309" t="s">
        <v>1704</v>
      </c>
      <c r="G309" t="s">
        <v>1387</v>
      </c>
      <c r="H309" t="s">
        <v>1391</v>
      </c>
      <c r="I309" t="s">
        <v>1394</v>
      </c>
      <c r="J309" t="s">
        <v>1402</v>
      </c>
      <c r="K309" t="s">
        <v>1461</v>
      </c>
      <c r="L309">
        <v>902.99</v>
      </c>
      <c r="M309">
        <v>6</v>
      </c>
      <c r="N309">
        <v>0.1</v>
      </c>
      <c r="O309">
        <v>5.71</v>
      </c>
      <c r="P309">
        <v>150.4983</v>
      </c>
      <c r="Q309">
        <f>Table1_2[[#This Row],[Ship Date]]-Table1_2[[#This Row],[order date]]</f>
        <v>45124</v>
      </c>
      <c r="R309">
        <f>Table1_2[[#This Row],[Profit]]/Table1_2[[#This Row],[Sales]]</f>
        <v>6.3234365829078947E-3</v>
      </c>
    </row>
    <row r="310" spans="1:18" x14ac:dyDescent="0.3">
      <c r="A310" t="s">
        <v>323</v>
      </c>
      <c r="B310" s="2">
        <v>44679</v>
      </c>
      <c r="C310" s="2">
        <v>44682</v>
      </c>
      <c r="D310" t="s">
        <v>1362</v>
      </c>
      <c r="E310" t="s">
        <v>1375</v>
      </c>
      <c r="F310" t="s">
        <v>1379</v>
      </c>
      <c r="G310" t="s">
        <v>1381</v>
      </c>
      <c r="H310" t="s">
        <v>1390</v>
      </c>
      <c r="I310" t="s">
        <v>1393</v>
      </c>
      <c r="J310" t="s">
        <v>1396</v>
      </c>
      <c r="K310" t="s">
        <v>1620</v>
      </c>
      <c r="L310">
        <v>1025.6600000000001</v>
      </c>
      <c r="M310">
        <v>9</v>
      </c>
      <c r="N310">
        <v>0.2</v>
      </c>
      <c r="O310">
        <v>125.48</v>
      </c>
      <c r="P310">
        <v>113.9622</v>
      </c>
      <c r="Q310">
        <f>Table1_2[[#This Row],[Ship Date]]-Table1_2[[#This Row],[order date]]</f>
        <v>3</v>
      </c>
      <c r="R310" s="3">
        <f>Table1_2[[#This Row],[Profit]]/Table1_2[[#This Row],[Sales]]</f>
        <v>0.12234073669637111</v>
      </c>
    </row>
    <row r="311" spans="1:18" x14ac:dyDescent="0.3">
      <c r="A311" t="s">
        <v>324</v>
      </c>
      <c r="B311" s="2">
        <v>45156</v>
      </c>
      <c r="C311" s="2">
        <v>45164</v>
      </c>
      <c r="D311" t="s">
        <v>1368</v>
      </c>
      <c r="E311" t="s">
        <v>1376</v>
      </c>
      <c r="F311" t="s">
        <v>1704</v>
      </c>
      <c r="G311" t="s">
        <v>1384</v>
      </c>
      <c r="H311" t="s">
        <v>1391</v>
      </c>
      <c r="I311" t="s">
        <v>1394</v>
      </c>
      <c r="J311" t="s">
        <v>1403</v>
      </c>
      <c r="K311" t="s">
        <v>1621</v>
      </c>
      <c r="L311">
        <v>171.29</v>
      </c>
      <c r="M311">
        <v>4</v>
      </c>
      <c r="N311">
        <v>0</v>
      </c>
      <c r="O311">
        <v>-9.84</v>
      </c>
      <c r="P311">
        <v>42.822499999999998</v>
      </c>
      <c r="Q311">
        <f>Table1_2[[#This Row],[Ship Date]]-Table1_2[[#This Row],[order date]]</f>
        <v>8</v>
      </c>
      <c r="R311" s="3">
        <f>Table1_2[[#This Row],[Profit]]/Table1_2[[#This Row],[Sales]]</f>
        <v>-5.7446435868994103E-2</v>
      </c>
    </row>
    <row r="312" spans="1:18" x14ac:dyDescent="0.3">
      <c r="A312" t="s">
        <v>325</v>
      </c>
      <c r="B312" s="2">
        <v>45160</v>
      </c>
      <c r="C312" s="2">
        <v>45163</v>
      </c>
      <c r="D312" t="s">
        <v>1363</v>
      </c>
      <c r="E312" t="s">
        <v>1374</v>
      </c>
      <c r="F312" t="s">
        <v>1704</v>
      </c>
      <c r="G312" t="s">
        <v>1384</v>
      </c>
      <c r="H312" t="s">
        <v>1391</v>
      </c>
      <c r="I312" t="s">
        <v>1393</v>
      </c>
      <c r="J312" t="s">
        <v>1396</v>
      </c>
      <c r="K312" t="s">
        <v>1598</v>
      </c>
      <c r="L312">
        <v>450.1</v>
      </c>
      <c r="M312">
        <v>6</v>
      </c>
      <c r="N312">
        <v>0.2</v>
      </c>
      <c r="O312">
        <v>-52.07</v>
      </c>
      <c r="P312">
        <v>75.0167</v>
      </c>
      <c r="Q312">
        <f>Table1_2[[#This Row],[Ship Date]]-Table1_2[[#This Row],[order date]]</f>
        <v>3</v>
      </c>
      <c r="R312" s="3">
        <f>Table1_2[[#This Row],[Profit]]/Table1_2[[#This Row],[Sales]]</f>
        <v>-0.11568540324372362</v>
      </c>
    </row>
    <row r="313" spans="1:18" x14ac:dyDescent="0.3">
      <c r="A313" t="s">
        <v>326</v>
      </c>
      <c r="B313" s="2">
        <v>45257</v>
      </c>
      <c r="C313" s="2">
        <v>45263</v>
      </c>
      <c r="D313" t="s">
        <v>1359</v>
      </c>
      <c r="E313" t="s">
        <v>1376</v>
      </c>
      <c r="F313" t="s">
        <v>1704</v>
      </c>
      <c r="G313" t="s">
        <v>1383</v>
      </c>
      <c r="H313" t="s">
        <v>1390</v>
      </c>
      <c r="I313" t="s">
        <v>1394</v>
      </c>
      <c r="J313" t="s">
        <v>1403</v>
      </c>
      <c r="K313" t="s">
        <v>1622</v>
      </c>
      <c r="L313">
        <v>545.52</v>
      </c>
      <c r="M313">
        <v>5</v>
      </c>
      <c r="N313">
        <v>0.2</v>
      </c>
      <c r="O313">
        <v>41.37</v>
      </c>
      <c r="P313">
        <v>109.104</v>
      </c>
      <c r="Q313">
        <f>Table1_2[[#This Row],[Ship Date]]-Table1_2[[#This Row],[order date]]</f>
        <v>6</v>
      </c>
      <c r="R313" s="3">
        <f>Table1_2[[#This Row],[Profit]]/Table1_2[[#This Row],[Sales]]</f>
        <v>7.5835899692036954E-2</v>
      </c>
    </row>
    <row r="314" spans="1:18" hidden="1" x14ac:dyDescent="0.3">
      <c r="A314" t="s">
        <v>327</v>
      </c>
      <c r="B314" s="2"/>
      <c r="C314" s="2">
        <v>45315</v>
      </c>
      <c r="D314" t="s">
        <v>1365</v>
      </c>
      <c r="E314" t="s">
        <v>1375</v>
      </c>
      <c r="F314" t="s">
        <v>1379</v>
      </c>
      <c r="G314" t="s">
        <v>1383</v>
      </c>
      <c r="H314" t="s">
        <v>1391</v>
      </c>
      <c r="I314" t="s">
        <v>1393</v>
      </c>
      <c r="J314" t="s">
        <v>1400</v>
      </c>
      <c r="K314" t="s">
        <v>1413</v>
      </c>
      <c r="L314">
        <v>1072.68</v>
      </c>
      <c r="M314">
        <v>9</v>
      </c>
      <c r="N314">
        <v>0</v>
      </c>
      <c r="O314">
        <v>221.32</v>
      </c>
      <c r="P314">
        <v>119.1867</v>
      </c>
      <c r="Q314">
        <f>Table1_2[[#This Row],[Ship Date]]-Table1_2[[#This Row],[order date]]</f>
        <v>45315</v>
      </c>
      <c r="R314">
        <f>Table1_2[[#This Row],[Profit]]/Table1_2[[#This Row],[Sales]]</f>
        <v>0.20632434649662526</v>
      </c>
    </row>
    <row r="315" spans="1:18" x14ac:dyDescent="0.3">
      <c r="A315" t="s">
        <v>328</v>
      </c>
      <c r="B315" s="2">
        <v>45114</v>
      </c>
      <c r="C315" s="2">
        <v>45122</v>
      </c>
      <c r="D315" t="s">
        <v>1368</v>
      </c>
      <c r="E315" t="s">
        <v>1374</v>
      </c>
      <c r="F315" t="s">
        <v>1379</v>
      </c>
      <c r="G315" t="s">
        <v>1385</v>
      </c>
      <c r="H315" t="s">
        <v>1391</v>
      </c>
      <c r="I315" t="s">
        <v>1393</v>
      </c>
      <c r="J315" t="s">
        <v>1400</v>
      </c>
      <c r="K315" t="s">
        <v>1463</v>
      </c>
      <c r="L315">
        <v>451.67</v>
      </c>
      <c r="M315">
        <v>4</v>
      </c>
      <c r="N315">
        <v>0</v>
      </c>
      <c r="O315">
        <v>75.25</v>
      </c>
      <c r="P315">
        <v>112.9175</v>
      </c>
      <c r="Q315">
        <f>Table1_2[[#This Row],[Ship Date]]-Table1_2[[#This Row],[order date]]</f>
        <v>8</v>
      </c>
      <c r="R315" s="3">
        <f>Table1_2[[#This Row],[Profit]]/Table1_2[[#This Row],[Sales]]</f>
        <v>0.16660393650231364</v>
      </c>
    </row>
    <row r="316" spans="1:18" x14ac:dyDescent="0.3">
      <c r="A316" t="s">
        <v>329</v>
      </c>
      <c r="B316" s="2">
        <v>44572</v>
      </c>
      <c r="C316" s="2">
        <v>44576</v>
      </c>
      <c r="D316" t="s">
        <v>1364</v>
      </c>
      <c r="E316" t="s">
        <v>1374</v>
      </c>
      <c r="F316" t="s">
        <v>1704</v>
      </c>
      <c r="G316" t="s">
        <v>1382</v>
      </c>
      <c r="H316" t="s">
        <v>1389</v>
      </c>
      <c r="I316" t="s">
        <v>1393</v>
      </c>
      <c r="J316" t="s">
        <v>1396</v>
      </c>
      <c r="K316" t="s">
        <v>1563</v>
      </c>
      <c r="L316">
        <v>215.7</v>
      </c>
      <c r="M316">
        <v>9</v>
      </c>
      <c r="N316">
        <v>0.1</v>
      </c>
      <c r="O316">
        <v>4.9800000000000004</v>
      </c>
      <c r="P316">
        <v>23.966699999999999</v>
      </c>
      <c r="Q316">
        <f>Table1_2[[#This Row],[Ship Date]]-Table1_2[[#This Row],[order date]]</f>
        <v>4</v>
      </c>
      <c r="R316" s="3">
        <f>Table1_2[[#This Row],[Profit]]/Table1_2[[#This Row],[Sales]]</f>
        <v>2.3087621696801116E-2</v>
      </c>
    </row>
    <row r="317" spans="1:18" x14ac:dyDescent="0.3">
      <c r="A317" t="s">
        <v>330</v>
      </c>
      <c r="B317" s="2">
        <v>44603</v>
      </c>
      <c r="C317" s="2">
        <v>44607</v>
      </c>
      <c r="D317" t="s">
        <v>1360</v>
      </c>
      <c r="E317" t="s">
        <v>1376</v>
      </c>
      <c r="F317" t="s">
        <v>1704</v>
      </c>
      <c r="G317" t="s">
        <v>1385</v>
      </c>
      <c r="H317" t="s">
        <v>1388</v>
      </c>
      <c r="I317" t="s">
        <v>1394</v>
      </c>
      <c r="J317" t="s">
        <v>1402</v>
      </c>
      <c r="K317" t="s">
        <v>1623</v>
      </c>
      <c r="L317">
        <v>94.18</v>
      </c>
      <c r="M317">
        <v>6</v>
      </c>
      <c r="N317">
        <v>0.1</v>
      </c>
      <c r="O317">
        <v>-16.82</v>
      </c>
      <c r="P317">
        <v>15.6967</v>
      </c>
      <c r="Q317">
        <f>Table1_2[[#This Row],[Ship Date]]-Table1_2[[#This Row],[order date]]</f>
        <v>4</v>
      </c>
      <c r="R317" s="3">
        <f>Table1_2[[#This Row],[Profit]]/Table1_2[[#This Row],[Sales]]</f>
        <v>-0.17859418135485239</v>
      </c>
    </row>
    <row r="318" spans="1:18" hidden="1" x14ac:dyDescent="0.3">
      <c r="A318" t="s">
        <v>331</v>
      </c>
      <c r="B318" s="2"/>
      <c r="C318" s="2">
        <v>45232</v>
      </c>
      <c r="D318" t="s">
        <v>1368</v>
      </c>
      <c r="E318" t="s">
        <v>1374</v>
      </c>
      <c r="F318" t="s">
        <v>1704</v>
      </c>
      <c r="G318" t="s">
        <v>1384</v>
      </c>
      <c r="H318" t="s">
        <v>1388</v>
      </c>
      <c r="I318" t="s">
        <v>1392</v>
      </c>
      <c r="J318" t="s">
        <v>1395</v>
      </c>
      <c r="K318" t="s">
        <v>1624</v>
      </c>
      <c r="L318">
        <v>1162.76</v>
      </c>
      <c r="M318">
        <v>5</v>
      </c>
      <c r="N318">
        <v>0.15</v>
      </c>
      <c r="O318">
        <v>103.85</v>
      </c>
      <c r="P318">
        <v>232.55199999999999</v>
      </c>
      <c r="Q318">
        <f>Table1_2[[#This Row],[Ship Date]]-Table1_2[[#This Row],[order date]]</f>
        <v>45232</v>
      </c>
      <c r="R318">
        <f>Table1_2[[#This Row],[Profit]]/Table1_2[[#This Row],[Sales]]</f>
        <v>8.9313357872647839E-2</v>
      </c>
    </row>
    <row r="319" spans="1:18" hidden="1" x14ac:dyDescent="0.3">
      <c r="A319" t="s">
        <v>332</v>
      </c>
      <c r="B319" s="2"/>
      <c r="C319" s="2">
        <v>44826</v>
      </c>
      <c r="D319" t="s">
        <v>1361</v>
      </c>
      <c r="E319" t="s">
        <v>1375</v>
      </c>
      <c r="F319" t="s">
        <v>1704</v>
      </c>
      <c r="G319" t="s">
        <v>1387</v>
      </c>
      <c r="H319" t="s">
        <v>1390</v>
      </c>
      <c r="I319" t="s">
        <v>1392</v>
      </c>
      <c r="J319" t="s">
        <v>1395</v>
      </c>
      <c r="K319" t="s">
        <v>1414</v>
      </c>
      <c r="L319">
        <v>498.89</v>
      </c>
      <c r="M319">
        <v>6</v>
      </c>
      <c r="N319">
        <v>0.2</v>
      </c>
      <c r="O319">
        <v>97.95</v>
      </c>
      <c r="P319">
        <v>83.148300000000006</v>
      </c>
      <c r="Q319">
        <f>Table1_2[[#This Row],[Ship Date]]-Table1_2[[#This Row],[order date]]</f>
        <v>44826</v>
      </c>
      <c r="R319">
        <f>Table1_2[[#This Row],[Profit]]/Table1_2[[#This Row],[Sales]]</f>
        <v>0.19633586562168015</v>
      </c>
    </row>
    <row r="320" spans="1:18" x14ac:dyDescent="0.3">
      <c r="A320" t="s">
        <v>333</v>
      </c>
      <c r="B320" s="2">
        <v>45088</v>
      </c>
      <c r="C320" s="2">
        <v>45093</v>
      </c>
      <c r="D320" t="s">
        <v>1368</v>
      </c>
      <c r="E320" t="s">
        <v>1376</v>
      </c>
      <c r="F320" t="s">
        <v>1379</v>
      </c>
      <c r="G320" t="s">
        <v>1385</v>
      </c>
      <c r="H320" t="s">
        <v>1389</v>
      </c>
      <c r="I320" t="s">
        <v>1392</v>
      </c>
      <c r="J320" t="s">
        <v>1401</v>
      </c>
      <c r="K320" t="s">
        <v>1625</v>
      </c>
      <c r="L320">
        <v>240.55</v>
      </c>
      <c r="M320">
        <v>6</v>
      </c>
      <c r="N320">
        <v>0</v>
      </c>
      <c r="O320">
        <v>38.159999999999997</v>
      </c>
      <c r="P320">
        <v>40.091700000000003</v>
      </c>
      <c r="Q320">
        <f>Table1_2[[#This Row],[Ship Date]]-Table1_2[[#This Row],[order date]]</f>
        <v>5</v>
      </c>
      <c r="R320" s="3">
        <f>Table1_2[[#This Row],[Profit]]/Table1_2[[#This Row],[Sales]]</f>
        <v>0.15863645811681562</v>
      </c>
    </row>
    <row r="321" spans="1:18" x14ac:dyDescent="0.3">
      <c r="A321" t="s">
        <v>334</v>
      </c>
      <c r="B321" s="2">
        <v>44659</v>
      </c>
      <c r="C321" s="2">
        <v>44787</v>
      </c>
      <c r="D321" t="s">
        <v>1359</v>
      </c>
      <c r="E321" t="s">
        <v>1375</v>
      </c>
      <c r="F321" t="s">
        <v>1379</v>
      </c>
      <c r="G321" t="s">
        <v>1383</v>
      </c>
      <c r="H321" t="s">
        <v>1390</v>
      </c>
      <c r="I321" t="s">
        <v>1392</v>
      </c>
      <c r="J321" t="s">
        <v>1395</v>
      </c>
      <c r="K321" t="s">
        <v>1566</v>
      </c>
      <c r="L321">
        <v>1003.37</v>
      </c>
      <c r="M321">
        <v>1</v>
      </c>
      <c r="N321">
        <v>0.1</v>
      </c>
      <c r="O321">
        <v>-179.03</v>
      </c>
      <c r="P321">
        <v>1003.37</v>
      </c>
      <c r="Q321">
        <f>Table1_2[[#This Row],[Ship Date]]-Table1_2[[#This Row],[order date]]</f>
        <v>128</v>
      </c>
      <c r="R321" s="3">
        <f>Table1_2[[#This Row],[Profit]]/Table1_2[[#This Row],[Sales]]</f>
        <v>-0.17842869529684963</v>
      </c>
    </row>
    <row r="322" spans="1:18" hidden="1" x14ac:dyDescent="0.3">
      <c r="A322" t="s">
        <v>335</v>
      </c>
      <c r="B322" s="2"/>
      <c r="C322" s="2">
        <v>44737</v>
      </c>
      <c r="D322" t="s">
        <v>1371</v>
      </c>
      <c r="E322" t="s">
        <v>1375</v>
      </c>
      <c r="F322" t="s">
        <v>1704</v>
      </c>
      <c r="G322" t="s">
        <v>1383</v>
      </c>
      <c r="H322" t="s">
        <v>1389</v>
      </c>
      <c r="I322" t="s">
        <v>1392</v>
      </c>
      <c r="J322" t="s">
        <v>1395</v>
      </c>
      <c r="K322" t="s">
        <v>1626</v>
      </c>
      <c r="L322">
        <v>1150.72</v>
      </c>
      <c r="M322">
        <v>10</v>
      </c>
      <c r="N322">
        <v>0</v>
      </c>
      <c r="O322">
        <v>136.72</v>
      </c>
      <c r="P322">
        <v>115.072</v>
      </c>
      <c r="Q322">
        <f>Table1_2[[#This Row],[Ship Date]]-Table1_2[[#This Row],[order date]]</f>
        <v>44737</v>
      </c>
      <c r="R322">
        <f>Table1_2[[#This Row],[Profit]]/Table1_2[[#This Row],[Sales]]</f>
        <v>0.11881256952169077</v>
      </c>
    </row>
    <row r="323" spans="1:18" hidden="1" x14ac:dyDescent="0.3">
      <c r="A323" t="s">
        <v>336</v>
      </c>
      <c r="B323" s="2"/>
      <c r="C323" s="2">
        <v>44740</v>
      </c>
      <c r="D323" t="s">
        <v>1371</v>
      </c>
      <c r="E323" t="s">
        <v>1374</v>
      </c>
      <c r="F323" t="s">
        <v>1379</v>
      </c>
      <c r="G323" t="s">
        <v>1385</v>
      </c>
      <c r="H323" t="s">
        <v>1388</v>
      </c>
      <c r="I323" t="s">
        <v>1394</v>
      </c>
      <c r="J323" t="s">
        <v>1398</v>
      </c>
      <c r="K323" t="s">
        <v>1627</v>
      </c>
      <c r="L323">
        <v>188.4</v>
      </c>
      <c r="M323">
        <v>10</v>
      </c>
      <c r="N323">
        <v>0.1</v>
      </c>
      <c r="O323">
        <v>21.03</v>
      </c>
      <c r="P323">
        <v>18.84</v>
      </c>
      <c r="Q323">
        <f>Table1_2[[#This Row],[Ship Date]]-Table1_2[[#This Row],[order date]]</f>
        <v>44740</v>
      </c>
      <c r="R323">
        <f>Table1_2[[#This Row],[Profit]]/Table1_2[[#This Row],[Sales]]</f>
        <v>0.11162420382165605</v>
      </c>
    </row>
    <row r="324" spans="1:18" x14ac:dyDescent="0.3">
      <c r="A324" t="s">
        <v>337</v>
      </c>
      <c r="B324" s="2">
        <v>44949</v>
      </c>
      <c r="C324" s="2">
        <v>44956</v>
      </c>
      <c r="D324" t="s">
        <v>1359</v>
      </c>
      <c r="E324" t="s">
        <v>1375</v>
      </c>
      <c r="F324" t="s">
        <v>1704</v>
      </c>
      <c r="G324" t="s">
        <v>1383</v>
      </c>
      <c r="H324" t="s">
        <v>1388</v>
      </c>
      <c r="I324" t="s">
        <v>1392</v>
      </c>
      <c r="J324" t="s">
        <v>1401</v>
      </c>
      <c r="K324" t="s">
        <v>1531</v>
      </c>
      <c r="L324">
        <v>39.54</v>
      </c>
      <c r="M324">
        <v>9</v>
      </c>
      <c r="N324">
        <v>0</v>
      </c>
      <c r="O324">
        <v>5.62</v>
      </c>
      <c r="P324">
        <v>4.3933</v>
      </c>
      <c r="Q324">
        <f>Table1_2[[#This Row],[Ship Date]]-Table1_2[[#This Row],[order date]]</f>
        <v>7</v>
      </c>
      <c r="R324" s="3">
        <f>Table1_2[[#This Row],[Profit]]/Table1_2[[#This Row],[Sales]]</f>
        <v>0.14213454729387962</v>
      </c>
    </row>
    <row r="325" spans="1:18" hidden="1" x14ac:dyDescent="0.3">
      <c r="A325" t="s">
        <v>338</v>
      </c>
      <c r="B325" s="2"/>
      <c r="C325" s="2">
        <v>45079</v>
      </c>
      <c r="D325" t="s">
        <v>1365</v>
      </c>
      <c r="E325" t="s">
        <v>1376</v>
      </c>
      <c r="F325" t="s">
        <v>1379</v>
      </c>
      <c r="G325" t="s">
        <v>1386</v>
      </c>
      <c r="H325" t="s">
        <v>1388</v>
      </c>
      <c r="I325" t="s">
        <v>1392</v>
      </c>
      <c r="J325" t="s">
        <v>1397</v>
      </c>
      <c r="K325" t="s">
        <v>1628</v>
      </c>
      <c r="L325">
        <v>798.08</v>
      </c>
      <c r="M325">
        <v>10</v>
      </c>
      <c r="N325">
        <v>0</v>
      </c>
      <c r="O325">
        <v>170.6</v>
      </c>
      <c r="P325">
        <v>79.808000000000007</v>
      </c>
      <c r="Q325">
        <f>Table1_2[[#This Row],[Ship Date]]-Table1_2[[#This Row],[order date]]</f>
        <v>45079</v>
      </c>
      <c r="R325">
        <f>Table1_2[[#This Row],[Profit]]/Table1_2[[#This Row],[Sales]]</f>
        <v>0.21376303127506013</v>
      </c>
    </row>
    <row r="326" spans="1:18" hidden="1" x14ac:dyDescent="0.3">
      <c r="A326" t="s">
        <v>339</v>
      </c>
      <c r="B326" s="2"/>
      <c r="C326" s="2">
        <v>45111</v>
      </c>
      <c r="D326" t="s">
        <v>1359</v>
      </c>
      <c r="E326" t="s">
        <v>1376</v>
      </c>
      <c r="F326" t="s">
        <v>1704</v>
      </c>
      <c r="G326" t="s">
        <v>1384</v>
      </c>
      <c r="H326" t="s">
        <v>1389</v>
      </c>
      <c r="I326" t="s">
        <v>1392</v>
      </c>
      <c r="J326" t="s">
        <v>1397</v>
      </c>
      <c r="K326" t="s">
        <v>1504</v>
      </c>
      <c r="L326">
        <v>951.68</v>
      </c>
      <c r="M326">
        <v>7</v>
      </c>
      <c r="N326">
        <v>0.15</v>
      </c>
      <c r="O326">
        <v>89.96</v>
      </c>
      <c r="P326">
        <v>135.95429999999999</v>
      </c>
      <c r="Q326">
        <f>Table1_2[[#This Row],[Ship Date]]-Table1_2[[#This Row],[order date]]</f>
        <v>45111</v>
      </c>
      <c r="R326">
        <f>Table1_2[[#This Row],[Profit]]/Table1_2[[#This Row],[Sales]]</f>
        <v>9.4527572293207796E-2</v>
      </c>
    </row>
    <row r="327" spans="1:18" hidden="1" x14ac:dyDescent="0.3">
      <c r="A327" t="s">
        <v>340</v>
      </c>
      <c r="B327" s="2"/>
      <c r="C327" s="2">
        <v>44802</v>
      </c>
      <c r="D327" t="s">
        <v>1361</v>
      </c>
      <c r="E327" t="s">
        <v>1374</v>
      </c>
      <c r="F327" t="s">
        <v>1379</v>
      </c>
      <c r="G327" t="s">
        <v>1383</v>
      </c>
      <c r="H327" t="s">
        <v>1388</v>
      </c>
      <c r="I327" t="s">
        <v>1394</v>
      </c>
      <c r="J327" t="s">
        <v>1398</v>
      </c>
      <c r="K327" t="s">
        <v>1578</v>
      </c>
      <c r="L327">
        <v>1054.58</v>
      </c>
      <c r="M327">
        <v>7</v>
      </c>
      <c r="N327">
        <v>0.15</v>
      </c>
      <c r="O327">
        <v>-111.25</v>
      </c>
      <c r="P327">
        <v>150.65430000000001</v>
      </c>
      <c r="Q327">
        <f>Table1_2[[#This Row],[Ship Date]]-Table1_2[[#This Row],[order date]]</f>
        <v>44802</v>
      </c>
      <c r="R327">
        <f>Table1_2[[#This Row],[Profit]]/Table1_2[[#This Row],[Sales]]</f>
        <v>-0.10549223387509721</v>
      </c>
    </row>
    <row r="328" spans="1:18" x14ac:dyDescent="0.3">
      <c r="A328" t="s">
        <v>341</v>
      </c>
      <c r="B328" s="2">
        <v>44968</v>
      </c>
      <c r="C328" s="2">
        <v>45236</v>
      </c>
      <c r="D328" t="s">
        <v>1372</v>
      </c>
      <c r="E328" t="s">
        <v>1374</v>
      </c>
      <c r="F328" t="s">
        <v>1704</v>
      </c>
      <c r="G328" t="s">
        <v>1383</v>
      </c>
      <c r="H328" t="s">
        <v>1391</v>
      </c>
      <c r="I328" t="s">
        <v>1393</v>
      </c>
      <c r="J328" t="s">
        <v>1399</v>
      </c>
      <c r="K328" t="s">
        <v>1581</v>
      </c>
      <c r="L328">
        <v>502.44</v>
      </c>
      <c r="M328">
        <v>2</v>
      </c>
      <c r="N328">
        <v>0.1</v>
      </c>
      <c r="O328">
        <v>6.55</v>
      </c>
      <c r="P328">
        <v>251.22</v>
      </c>
      <c r="Q328">
        <f>Table1_2[[#This Row],[Ship Date]]-Table1_2[[#This Row],[order date]]</f>
        <v>268</v>
      </c>
      <c r="R328" s="3">
        <f>Table1_2[[#This Row],[Profit]]/Table1_2[[#This Row],[Sales]]</f>
        <v>1.3036382453626304E-2</v>
      </c>
    </row>
    <row r="329" spans="1:18" x14ac:dyDescent="0.3">
      <c r="A329" t="s">
        <v>342</v>
      </c>
      <c r="B329" s="2">
        <v>44844</v>
      </c>
      <c r="C329" s="2">
        <v>44851</v>
      </c>
      <c r="D329" t="s">
        <v>1360</v>
      </c>
      <c r="E329" t="s">
        <v>1376</v>
      </c>
      <c r="F329" t="s">
        <v>1379</v>
      </c>
      <c r="G329" t="s">
        <v>1383</v>
      </c>
      <c r="H329" t="s">
        <v>1391</v>
      </c>
      <c r="I329" t="s">
        <v>1392</v>
      </c>
      <c r="J329" t="s">
        <v>1397</v>
      </c>
      <c r="K329" t="s">
        <v>1504</v>
      </c>
      <c r="L329">
        <v>671.48</v>
      </c>
      <c r="M329">
        <v>9</v>
      </c>
      <c r="N329">
        <v>0.2</v>
      </c>
      <c r="O329">
        <v>-74.290000000000006</v>
      </c>
      <c r="P329">
        <v>74.608900000000006</v>
      </c>
      <c r="Q329">
        <f>Table1_2[[#This Row],[Ship Date]]-Table1_2[[#This Row],[order date]]</f>
        <v>7</v>
      </c>
      <c r="R329" s="3">
        <f>Table1_2[[#This Row],[Profit]]/Table1_2[[#This Row],[Sales]]</f>
        <v>-0.11063620658843153</v>
      </c>
    </row>
    <row r="330" spans="1:18" hidden="1" x14ac:dyDescent="0.3">
      <c r="A330" t="s">
        <v>343</v>
      </c>
      <c r="B330" s="2"/>
      <c r="C330" s="2">
        <v>45291</v>
      </c>
      <c r="D330" t="s">
        <v>1363</v>
      </c>
      <c r="E330" t="s">
        <v>1375</v>
      </c>
      <c r="F330" t="s">
        <v>1704</v>
      </c>
      <c r="G330" t="s">
        <v>1386</v>
      </c>
      <c r="H330" t="s">
        <v>1391</v>
      </c>
      <c r="I330" t="s">
        <v>1393</v>
      </c>
      <c r="J330" t="s">
        <v>1400</v>
      </c>
      <c r="K330" t="s">
        <v>1629</v>
      </c>
      <c r="L330">
        <v>1028.9000000000001</v>
      </c>
      <c r="M330">
        <v>2</v>
      </c>
      <c r="N330">
        <v>0.1</v>
      </c>
      <c r="O330">
        <v>23.97</v>
      </c>
      <c r="P330">
        <v>514.45000000000005</v>
      </c>
      <c r="Q330">
        <f>Table1_2[[#This Row],[Ship Date]]-Table1_2[[#This Row],[order date]]</f>
        <v>45291</v>
      </c>
      <c r="R330">
        <f>Table1_2[[#This Row],[Profit]]/Table1_2[[#This Row],[Sales]]</f>
        <v>2.3296724657401104E-2</v>
      </c>
    </row>
    <row r="331" spans="1:18" x14ac:dyDescent="0.3">
      <c r="A331" t="s">
        <v>344</v>
      </c>
      <c r="B331" s="2">
        <v>45190</v>
      </c>
      <c r="C331" s="2">
        <v>45191</v>
      </c>
      <c r="D331" t="s">
        <v>1360</v>
      </c>
      <c r="E331" t="s">
        <v>1375</v>
      </c>
      <c r="F331" t="s">
        <v>1379</v>
      </c>
      <c r="G331" t="s">
        <v>1384</v>
      </c>
      <c r="H331" t="s">
        <v>1390</v>
      </c>
      <c r="I331" t="s">
        <v>1392</v>
      </c>
      <c r="J331" t="s">
        <v>1397</v>
      </c>
      <c r="K331" t="s">
        <v>1630</v>
      </c>
      <c r="L331">
        <v>1158.19</v>
      </c>
      <c r="M331">
        <v>1</v>
      </c>
      <c r="N331">
        <v>0</v>
      </c>
      <c r="O331">
        <v>245.11</v>
      </c>
      <c r="P331">
        <v>1158.19</v>
      </c>
      <c r="Q331">
        <f>Table1_2[[#This Row],[Ship Date]]-Table1_2[[#This Row],[order date]]</f>
        <v>1</v>
      </c>
      <c r="R331" s="3">
        <f>Table1_2[[#This Row],[Profit]]/Table1_2[[#This Row],[Sales]]</f>
        <v>0.21163194294545801</v>
      </c>
    </row>
    <row r="332" spans="1:18" x14ac:dyDescent="0.3">
      <c r="A332" t="s">
        <v>345</v>
      </c>
      <c r="B332" s="2">
        <v>44643</v>
      </c>
      <c r="C332" s="2">
        <v>44653</v>
      </c>
      <c r="D332" t="s">
        <v>1359</v>
      </c>
      <c r="E332" t="s">
        <v>1375</v>
      </c>
      <c r="F332" t="s">
        <v>1704</v>
      </c>
      <c r="G332" t="s">
        <v>1385</v>
      </c>
      <c r="H332" t="s">
        <v>1388</v>
      </c>
      <c r="I332" t="s">
        <v>1392</v>
      </c>
      <c r="J332" t="s">
        <v>1395</v>
      </c>
      <c r="K332" t="s">
        <v>1631</v>
      </c>
      <c r="L332">
        <v>473.5</v>
      </c>
      <c r="M332">
        <v>7</v>
      </c>
      <c r="N332">
        <v>0</v>
      </c>
      <c r="O332">
        <v>60.65</v>
      </c>
      <c r="P332">
        <v>67.642899999999997</v>
      </c>
      <c r="Q332">
        <f>Table1_2[[#This Row],[Ship Date]]-Table1_2[[#This Row],[order date]]</f>
        <v>10</v>
      </c>
      <c r="R332" s="3">
        <f>Table1_2[[#This Row],[Profit]]/Table1_2[[#This Row],[Sales]]</f>
        <v>0.12808870116156282</v>
      </c>
    </row>
    <row r="333" spans="1:18" x14ac:dyDescent="0.3">
      <c r="A333" t="s">
        <v>346</v>
      </c>
      <c r="B333" s="2">
        <v>45432</v>
      </c>
      <c r="C333" s="2">
        <v>45441</v>
      </c>
      <c r="D333" t="s">
        <v>1359</v>
      </c>
      <c r="E333" t="s">
        <v>1374</v>
      </c>
      <c r="F333" t="s">
        <v>1379</v>
      </c>
      <c r="G333" t="s">
        <v>1384</v>
      </c>
      <c r="H333" t="s">
        <v>1390</v>
      </c>
      <c r="I333" t="s">
        <v>1394</v>
      </c>
      <c r="J333" t="s">
        <v>1402</v>
      </c>
      <c r="K333" t="s">
        <v>1577</v>
      </c>
      <c r="L333">
        <v>59.66</v>
      </c>
      <c r="M333">
        <v>10</v>
      </c>
      <c r="N333">
        <v>0</v>
      </c>
      <c r="O333">
        <v>3.45</v>
      </c>
      <c r="P333">
        <v>5.9660000000000002</v>
      </c>
      <c r="Q333">
        <f>Table1_2[[#This Row],[Ship Date]]-Table1_2[[#This Row],[order date]]</f>
        <v>9</v>
      </c>
      <c r="R333" s="3">
        <f>Table1_2[[#This Row],[Profit]]/Table1_2[[#This Row],[Sales]]</f>
        <v>5.7827690244720086E-2</v>
      </c>
    </row>
    <row r="334" spans="1:18" x14ac:dyDescent="0.3">
      <c r="A334" t="s">
        <v>347</v>
      </c>
      <c r="B334" s="2">
        <v>44562</v>
      </c>
      <c r="C334" s="2">
        <v>44565</v>
      </c>
      <c r="D334" t="s">
        <v>1359</v>
      </c>
      <c r="E334" t="s">
        <v>1374</v>
      </c>
      <c r="F334" t="s">
        <v>1379</v>
      </c>
      <c r="G334" t="s">
        <v>1381</v>
      </c>
      <c r="H334" t="s">
        <v>1391</v>
      </c>
      <c r="I334" t="s">
        <v>1392</v>
      </c>
      <c r="J334" t="s">
        <v>1397</v>
      </c>
      <c r="K334" t="s">
        <v>1632</v>
      </c>
      <c r="L334">
        <v>940.01</v>
      </c>
      <c r="M334">
        <v>6</v>
      </c>
      <c r="N334">
        <v>0.2</v>
      </c>
      <c r="O334">
        <v>2.56</v>
      </c>
      <c r="P334">
        <v>156.66829999999999</v>
      </c>
      <c r="Q334">
        <f>Table1_2[[#This Row],[Ship Date]]-Table1_2[[#This Row],[order date]]</f>
        <v>3</v>
      </c>
      <c r="R334" s="3">
        <f>Table1_2[[#This Row],[Profit]]/Table1_2[[#This Row],[Sales]]</f>
        <v>2.7233752832416676E-3</v>
      </c>
    </row>
    <row r="335" spans="1:18" x14ac:dyDescent="0.3">
      <c r="A335" t="s">
        <v>348</v>
      </c>
      <c r="B335" s="2">
        <v>45411</v>
      </c>
      <c r="C335" s="2">
        <v>45420</v>
      </c>
      <c r="D335" t="s">
        <v>1373</v>
      </c>
      <c r="E335" t="s">
        <v>1374</v>
      </c>
      <c r="F335" t="s">
        <v>1379</v>
      </c>
      <c r="G335" t="s">
        <v>1384</v>
      </c>
      <c r="H335" t="s">
        <v>1390</v>
      </c>
      <c r="I335" t="s">
        <v>1393</v>
      </c>
      <c r="J335" t="s">
        <v>1399</v>
      </c>
      <c r="K335" t="s">
        <v>1633</v>
      </c>
      <c r="L335">
        <v>430.02</v>
      </c>
      <c r="M335">
        <v>5</v>
      </c>
      <c r="N335">
        <v>0.1</v>
      </c>
      <c r="O335">
        <v>44.37</v>
      </c>
      <c r="P335">
        <v>86.004000000000005</v>
      </c>
      <c r="Q335">
        <f>Table1_2[[#This Row],[Ship Date]]-Table1_2[[#This Row],[order date]]</f>
        <v>9</v>
      </c>
      <c r="R335" s="3">
        <f>Table1_2[[#This Row],[Profit]]/Table1_2[[#This Row],[Sales]]</f>
        <v>0.10318124738384261</v>
      </c>
    </row>
    <row r="336" spans="1:18" x14ac:dyDescent="0.3">
      <c r="A336" t="s">
        <v>349</v>
      </c>
      <c r="B336" s="2">
        <v>45080</v>
      </c>
      <c r="C336" s="2">
        <v>45082</v>
      </c>
      <c r="D336" t="s">
        <v>1364</v>
      </c>
      <c r="E336" t="s">
        <v>1376</v>
      </c>
      <c r="F336" t="s">
        <v>1704</v>
      </c>
      <c r="G336" t="s">
        <v>1385</v>
      </c>
      <c r="H336" t="s">
        <v>1389</v>
      </c>
      <c r="I336" t="s">
        <v>1393</v>
      </c>
      <c r="J336" t="s">
        <v>1400</v>
      </c>
      <c r="K336" t="s">
        <v>1634</v>
      </c>
      <c r="L336">
        <v>613.74</v>
      </c>
      <c r="M336">
        <v>6</v>
      </c>
      <c r="N336">
        <v>0</v>
      </c>
      <c r="O336">
        <v>123.65</v>
      </c>
      <c r="P336">
        <v>102.29</v>
      </c>
      <c r="Q336">
        <f>Table1_2[[#This Row],[Ship Date]]-Table1_2[[#This Row],[order date]]</f>
        <v>2</v>
      </c>
      <c r="R336" s="3">
        <f>Table1_2[[#This Row],[Profit]]/Table1_2[[#This Row],[Sales]]</f>
        <v>0.20146967771368984</v>
      </c>
    </row>
    <row r="337" spans="1:18" x14ac:dyDescent="0.3">
      <c r="A337" t="s">
        <v>350</v>
      </c>
      <c r="B337" s="2">
        <v>44811</v>
      </c>
      <c r="C337" s="2">
        <v>44817</v>
      </c>
      <c r="D337" t="s">
        <v>1366</v>
      </c>
      <c r="E337" t="s">
        <v>1374</v>
      </c>
      <c r="F337" t="s">
        <v>1704</v>
      </c>
      <c r="G337" t="s">
        <v>1382</v>
      </c>
      <c r="H337" t="s">
        <v>1390</v>
      </c>
      <c r="I337" t="s">
        <v>1394</v>
      </c>
      <c r="J337" t="s">
        <v>1398</v>
      </c>
      <c r="K337" t="s">
        <v>1599</v>
      </c>
      <c r="L337">
        <v>563.65</v>
      </c>
      <c r="M337">
        <v>10</v>
      </c>
      <c r="N337">
        <v>0</v>
      </c>
      <c r="O337">
        <v>23.1</v>
      </c>
      <c r="P337">
        <v>56.365000000000002</v>
      </c>
      <c r="Q337">
        <f>Table1_2[[#This Row],[Ship Date]]-Table1_2[[#This Row],[order date]]</f>
        <v>6</v>
      </c>
      <c r="R337" s="3">
        <f>Table1_2[[#This Row],[Profit]]/Table1_2[[#This Row],[Sales]]</f>
        <v>4.0982879446465011E-2</v>
      </c>
    </row>
    <row r="338" spans="1:18" x14ac:dyDescent="0.3">
      <c r="A338" t="s">
        <v>351</v>
      </c>
      <c r="B338" s="2">
        <v>44984</v>
      </c>
      <c r="C338" s="2">
        <v>44990</v>
      </c>
      <c r="D338" t="s">
        <v>1371</v>
      </c>
      <c r="E338" t="s">
        <v>1374</v>
      </c>
      <c r="F338" t="s">
        <v>1704</v>
      </c>
      <c r="G338" t="s">
        <v>1385</v>
      </c>
      <c r="H338" t="s">
        <v>1391</v>
      </c>
      <c r="I338" t="s">
        <v>1393</v>
      </c>
      <c r="J338" t="s">
        <v>1396</v>
      </c>
      <c r="K338" t="s">
        <v>1563</v>
      </c>
      <c r="L338">
        <v>31.47</v>
      </c>
      <c r="M338">
        <v>5</v>
      </c>
      <c r="N338">
        <v>0.1</v>
      </c>
      <c r="O338">
        <v>-1.77</v>
      </c>
      <c r="P338">
        <v>6.2939999999999996</v>
      </c>
      <c r="Q338">
        <f>Table1_2[[#This Row],[Ship Date]]-Table1_2[[#This Row],[order date]]</f>
        <v>6</v>
      </c>
      <c r="R338" s="3">
        <f>Table1_2[[#This Row],[Profit]]/Table1_2[[#This Row],[Sales]]</f>
        <v>-5.624404194470925E-2</v>
      </c>
    </row>
    <row r="339" spans="1:18" x14ac:dyDescent="0.3">
      <c r="A339" t="s">
        <v>352</v>
      </c>
      <c r="B339" s="2">
        <v>44785</v>
      </c>
      <c r="C339" s="2">
        <v>44795</v>
      </c>
      <c r="D339" t="s">
        <v>1368</v>
      </c>
      <c r="E339" t="s">
        <v>1375</v>
      </c>
      <c r="F339" t="s">
        <v>1704</v>
      </c>
      <c r="G339" t="s">
        <v>1387</v>
      </c>
      <c r="H339" t="s">
        <v>1390</v>
      </c>
      <c r="I339" t="s">
        <v>1394</v>
      </c>
      <c r="J339" t="s">
        <v>1402</v>
      </c>
      <c r="K339" t="s">
        <v>1432</v>
      </c>
      <c r="L339">
        <v>1137.5999999999999</v>
      </c>
      <c r="M339">
        <v>4</v>
      </c>
      <c r="N339">
        <v>0.2</v>
      </c>
      <c r="O339">
        <v>191.75</v>
      </c>
      <c r="P339">
        <v>284.39999999999998</v>
      </c>
      <c r="Q339">
        <f>Table1_2[[#This Row],[Ship Date]]-Table1_2[[#This Row],[order date]]</f>
        <v>10</v>
      </c>
      <c r="R339" s="3">
        <f>Table1_2[[#This Row],[Profit]]/Table1_2[[#This Row],[Sales]]</f>
        <v>0.16855661040787626</v>
      </c>
    </row>
    <row r="340" spans="1:18" hidden="1" x14ac:dyDescent="0.3">
      <c r="A340" t="s">
        <v>353</v>
      </c>
      <c r="B340" s="2"/>
      <c r="C340" s="2">
        <v>44929</v>
      </c>
      <c r="D340" t="s">
        <v>1366</v>
      </c>
      <c r="E340" t="s">
        <v>1376</v>
      </c>
      <c r="F340" t="s">
        <v>1379</v>
      </c>
      <c r="G340" t="s">
        <v>1385</v>
      </c>
      <c r="H340" t="s">
        <v>1391</v>
      </c>
      <c r="I340" t="s">
        <v>1392</v>
      </c>
      <c r="J340" t="s">
        <v>1401</v>
      </c>
      <c r="K340" t="s">
        <v>1436</v>
      </c>
      <c r="L340">
        <v>1105.82</v>
      </c>
      <c r="M340">
        <v>8</v>
      </c>
      <c r="N340">
        <v>0</v>
      </c>
      <c r="O340">
        <v>-217.5</v>
      </c>
      <c r="P340">
        <v>138.22749999999999</v>
      </c>
      <c r="Q340">
        <f>Table1_2[[#This Row],[Ship Date]]-Table1_2[[#This Row],[order date]]</f>
        <v>44929</v>
      </c>
      <c r="R340">
        <f>Table1_2[[#This Row],[Profit]]/Table1_2[[#This Row],[Sales]]</f>
        <v>-0.1966866216924997</v>
      </c>
    </row>
    <row r="341" spans="1:18" x14ac:dyDescent="0.3">
      <c r="A341" t="s">
        <v>354</v>
      </c>
      <c r="B341" s="2">
        <v>44749</v>
      </c>
      <c r="C341" s="2">
        <v>44758</v>
      </c>
      <c r="D341" t="s">
        <v>1365</v>
      </c>
      <c r="E341" t="s">
        <v>1375</v>
      </c>
      <c r="F341" t="s">
        <v>1379</v>
      </c>
      <c r="G341" t="s">
        <v>1385</v>
      </c>
      <c r="H341" t="s">
        <v>1390</v>
      </c>
      <c r="I341" t="s">
        <v>1394</v>
      </c>
      <c r="J341" t="s">
        <v>1403</v>
      </c>
      <c r="K341" t="s">
        <v>1635</v>
      </c>
      <c r="L341">
        <v>282.07</v>
      </c>
      <c r="M341">
        <v>10</v>
      </c>
      <c r="N341">
        <v>0.1</v>
      </c>
      <c r="O341">
        <v>-48.78</v>
      </c>
      <c r="P341">
        <v>28.207000000000001</v>
      </c>
      <c r="Q341">
        <f>Table1_2[[#This Row],[Ship Date]]-Table1_2[[#This Row],[order date]]</f>
        <v>9</v>
      </c>
      <c r="R341" s="3">
        <f>Table1_2[[#This Row],[Profit]]/Table1_2[[#This Row],[Sales]]</f>
        <v>-0.17293579607898749</v>
      </c>
    </row>
    <row r="342" spans="1:18" x14ac:dyDescent="0.3">
      <c r="A342" t="s">
        <v>355</v>
      </c>
      <c r="B342" s="2">
        <v>44685</v>
      </c>
      <c r="C342" s="2">
        <v>44694</v>
      </c>
      <c r="D342" t="s">
        <v>1372</v>
      </c>
      <c r="E342" t="s">
        <v>1374</v>
      </c>
      <c r="F342" t="s">
        <v>1379</v>
      </c>
      <c r="G342" t="s">
        <v>1387</v>
      </c>
      <c r="H342" t="s">
        <v>1391</v>
      </c>
      <c r="I342" t="s">
        <v>1394</v>
      </c>
      <c r="J342" t="s">
        <v>1403</v>
      </c>
      <c r="K342" t="s">
        <v>1636</v>
      </c>
      <c r="L342">
        <v>833.27</v>
      </c>
      <c r="M342">
        <v>1</v>
      </c>
      <c r="N342">
        <v>0.1</v>
      </c>
      <c r="O342">
        <v>-8.57</v>
      </c>
      <c r="P342">
        <v>833.27</v>
      </c>
      <c r="Q342">
        <f>Table1_2[[#This Row],[Ship Date]]-Table1_2[[#This Row],[order date]]</f>
        <v>9</v>
      </c>
      <c r="R342" s="3">
        <f>Table1_2[[#This Row],[Profit]]/Table1_2[[#This Row],[Sales]]</f>
        <v>-1.0284781643404899E-2</v>
      </c>
    </row>
    <row r="343" spans="1:18" x14ac:dyDescent="0.3">
      <c r="A343" t="s">
        <v>356</v>
      </c>
      <c r="B343" s="2">
        <v>44630</v>
      </c>
      <c r="C343" s="2">
        <v>44845</v>
      </c>
      <c r="D343" t="s">
        <v>1372</v>
      </c>
      <c r="E343" t="s">
        <v>1376</v>
      </c>
      <c r="F343" t="s">
        <v>1379</v>
      </c>
      <c r="G343" t="s">
        <v>1385</v>
      </c>
      <c r="H343" t="s">
        <v>1390</v>
      </c>
      <c r="I343" t="s">
        <v>1393</v>
      </c>
      <c r="J343" t="s">
        <v>1399</v>
      </c>
      <c r="K343" t="s">
        <v>1637</v>
      </c>
      <c r="L343">
        <v>451.79</v>
      </c>
      <c r="M343">
        <v>8</v>
      </c>
      <c r="N343">
        <v>0.2</v>
      </c>
      <c r="O343">
        <v>-42.8</v>
      </c>
      <c r="P343">
        <v>56.473799999999997</v>
      </c>
      <c r="Q343">
        <f>Table1_2[[#This Row],[Ship Date]]-Table1_2[[#This Row],[order date]]</f>
        <v>215</v>
      </c>
      <c r="R343" s="3">
        <f>Table1_2[[#This Row],[Profit]]/Table1_2[[#This Row],[Sales]]</f>
        <v>-9.4734279200513499E-2</v>
      </c>
    </row>
    <row r="344" spans="1:18" x14ac:dyDescent="0.3">
      <c r="A344" t="s">
        <v>357</v>
      </c>
      <c r="B344" s="2">
        <v>44696</v>
      </c>
      <c r="C344" s="2">
        <v>44706</v>
      </c>
      <c r="D344" t="s">
        <v>1363</v>
      </c>
      <c r="E344" t="s">
        <v>1374</v>
      </c>
      <c r="F344" t="s">
        <v>1704</v>
      </c>
      <c r="G344" t="s">
        <v>1385</v>
      </c>
      <c r="H344" t="s">
        <v>1388</v>
      </c>
      <c r="I344" t="s">
        <v>1393</v>
      </c>
      <c r="J344" t="s">
        <v>1400</v>
      </c>
      <c r="K344" t="s">
        <v>1638</v>
      </c>
      <c r="L344">
        <v>980.74</v>
      </c>
      <c r="M344">
        <v>5</v>
      </c>
      <c r="N344">
        <v>0.1</v>
      </c>
      <c r="O344">
        <v>76.17</v>
      </c>
      <c r="P344">
        <v>196.148</v>
      </c>
      <c r="Q344">
        <f>Table1_2[[#This Row],[Ship Date]]-Table1_2[[#This Row],[order date]]</f>
        <v>10</v>
      </c>
      <c r="R344" s="3">
        <f>Table1_2[[#This Row],[Profit]]/Table1_2[[#This Row],[Sales]]</f>
        <v>7.7665844158492564E-2</v>
      </c>
    </row>
    <row r="345" spans="1:18" hidden="1" x14ac:dyDescent="0.3">
      <c r="A345" t="s">
        <v>358</v>
      </c>
      <c r="B345" s="2">
        <v>45141</v>
      </c>
      <c r="C345" s="2">
        <v>45001</v>
      </c>
      <c r="D345" t="s">
        <v>1359</v>
      </c>
      <c r="E345" t="s">
        <v>1376</v>
      </c>
      <c r="F345" t="s">
        <v>1379</v>
      </c>
      <c r="G345" t="s">
        <v>1382</v>
      </c>
      <c r="H345" t="s">
        <v>1390</v>
      </c>
      <c r="I345" t="s">
        <v>1392</v>
      </c>
      <c r="J345" t="s">
        <v>1395</v>
      </c>
      <c r="K345" t="s">
        <v>1566</v>
      </c>
      <c r="L345">
        <v>630.07000000000005</v>
      </c>
      <c r="M345">
        <v>6</v>
      </c>
      <c r="N345">
        <v>0.2</v>
      </c>
      <c r="O345">
        <v>-31.49</v>
      </c>
      <c r="P345">
        <v>105.0117</v>
      </c>
      <c r="Q345">
        <f>Table1_2[[#This Row],[Ship Date]]-Table1_2[[#This Row],[order date]]</f>
        <v>-140</v>
      </c>
      <c r="R345">
        <f>Table1_2[[#This Row],[Profit]]/Table1_2[[#This Row],[Sales]]</f>
        <v>-4.9978573809259283E-2</v>
      </c>
    </row>
    <row r="346" spans="1:18" hidden="1" x14ac:dyDescent="0.3">
      <c r="A346" t="s">
        <v>359</v>
      </c>
      <c r="B346" s="2">
        <v>44812</v>
      </c>
      <c r="C346" s="2">
        <v>44787</v>
      </c>
      <c r="D346" t="s">
        <v>1360</v>
      </c>
      <c r="E346" t="s">
        <v>1376</v>
      </c>
      <c r="F346" t="s">
        <v>1379</v>
      </c>
      <c r="G346" t="s">
        <v>1385</v>
      </c>
      <c r="H346" t="s">
        <v>1388</v>
      </c>
      <c r="I346" t="s">
        <v>1394</v>
      </c>
      <c r="J346" t="s">
        <v>1398</v>
      </c>
      <c r="K346" t="s">
        <v>1464</v>
      </c>
      <c r="L346">
        <v>133.63999999999999</v>
      </c>
      <c r="M346">
        <v>6</v>
      </c>
      <c r="N346">
        <v>0.15</v>
      </c>
      <c r="O346">
        <v>-2.61</v>
      </c>
      <c r="P346">
        <v>22.273299999999999</v>
      </c>
      <c r="Q346">
        <f>Table1_2[[#This Row],[Ship Date]]-Table1_2[[#This Row],[order date]]</f>
        <v>-25</v>
      </c>
      <c r="R346">
        <f>Table1_2[[#This Row],[Profit]]/Table1_2[[#This Row],[Sales]]</f>
        <v>-1.9530080814127507E-2</v>
      </c>
    </row>
    <row r="347" spans="1:18" x14ac:dyDescent="0.3">
      <c r="A347" t="s">
        <v>360</v>
      </c>
      <c r="B347" s="2">
        <v>45450</v>
      </c>
      <c r="C347" s="2">
        <v>45460</v>
      </c>
      <c r="D347" t="s">
        <v>1372</v>
      </c>
      <c r="E347" t="s">
        <v>1374</v>
      </c>
      <c r="F347" t="s">
        <v>1704</v>
      </c>
      <c r="G347" t="s">
        <v>1386</v>
      </c>
      <c r="H347" t="s">
        <v>1389</v>
      </c>
      <c r="I347" t="s">
        <v>1392</v>
      </c>
      <c r="J347" t="s">
        <v>1395</v>
      </c>
      <c r="K347" t="s">
        <v>1404</v>
      </c>
      <c r="L347">
        <v>699.56</v>
      </c>
      <c r="M347">
        <v>9</v>
      </c>
      <c r="N347">
        <v>0.1</v>
      </c>
      <c r="O347">
        <v>202.65</v>
      </c>
      <c r="P347">
        <v>77.728899999999996</v>
      </c>
      <c r="Q347">
        <f>Table1_2[[#This Row],[Ship Date]]-Table1_2[[#This Row],[order date]]</f>
        <v>10</v>
      </c>
      <c r="R347" s="3">
        <f>Table1_2[[#This Row],[Profit]]/Table1_2[[#This Row],[Sales]]</f>
        <v>0.28968208588255479</v>
      </c>
    </row>
    <row r="348" spans="1:18" x14ac:dyDescent="0.3">
      <c r="A348" t="s">
        <v>361</v>
      </c>
      <c r="B348" s="2">
        <v>44952</v>
      </c>
      <c r="C348" s="2">
        <v>44962</v>
      </c>
      <c r="D348" t="s">
        <v>1365</v>
      </c>
      <c r="E348" t="s">
        <v>1374</v>
      </c>
      <c r="F348" t="s">
        <v>1704</v>
      </c>
      <c r="G348" t="s">
        <v>1386</v>
      </c>
      <c r="H348" t="s">
        <v>1388</v>
      </c>
      <c r="I348" t="s">
        <v>1394</v>
      </c>
      <c r="J348" t="s">
        <v>1403</v>
      </c>
      <c r="K348" t="s">
        <v>1441</v>
      </c>
      <c r="L348">
        <v>765.42</v>
      </c>
      <c r="M348">
        <v>3</v>
      </c>
      <c r="N348">
        <v>0.1</v>
      </c>
      <c r="O348">
        <v>92.07</v>
      </c>
      <c r="P348">
        <v>255.14</v>
      </c>
      <c r="Q348">
        <f>Table1_2[[#This Row],[Ship Date]]-Table1_2[[#This Row],[order date]]</f>
        <v>10</v>
      </c>
      <c r="R348" s="3">
        <f>Table1_2[[#This Row],[Profit]]/Table1_2[[#This Row],[Sales]]</f>
        <v>0.1202869013090852</v>
      </c>
    </row>
    <row r="349" spans="1:18" x14ac:dyDescent="0.3">
      <c r="A349" t="s">
        <v>362</v>
      </c>
      <c r="B349" s="2">
        <v>44727</v>
      </c>
      <c r="C349" s="2">
        <v>44733</v>
      </c>
      <c r="D349" t="s">
        <v>1372</v>
      </c>
      <c r="E349" t="s">
        <v>1376</v>
      </c>
      <c r="F349" t="s">
        <v>1704</v>
      </c>
      <c r="G349" t="s">
        <v>1385</v>
      </c>
      <c r="H349" t="s">
        <v>1390</v>
      </c>
      <c r="I349" t="s">
        <v>1392</v>
      </c>
      <c r="J349" t="s">
        <v>1397</v>
      </c>
      <c r="K349" t="s">
        <v>1639</v>
      </c>
      <c r="L349">
        <v>393.92</v>
      </c>
      <c r="M349">
        <v>5</v>
      </c>
      <c r="N349">
        <v>0.15</v>
      </c>
      <c r="O349">
        <v>40.450000000000003</v>
      </c>
      <c r="P349">
        <v>78.784000000000006</v>
      </c>
      <c r="Q349">
        <f>Table1_2[[#This Row],[Ship Date]]-Table1_2[[#This Row],[order date]]</f>
        <v>6</v>
      </c>
      <c r="R349" s="3">
        <f>Table1_2[[#This Row],[Profit]]/Table1_2[[#This Row],[Sales]]</f>
        <v>0.10268582453290008</v>
      </c>
    </row>
    <row r="350" spans="1:18" x14ac:dyDescent="0.3">
      <c r="A350" t="s">
        <v>363</v>
      </c>
      <c r="B350" s="2">
        <v>45436</v>
      </c>
      <c r="C350" s="2">
        <v>45437</v>
      </c>
      <c r="D350" t="s">
        <v>1369</v>
      </c>
      <c r="E350" t="s">
        <v>1375</v>
      </c>
      <c r="F350" t="s">
        <v>1704</v>
      </c>
      <c r="G350" t="s">
        <v>1383</v>
      </c>
      <c r="H350" t="s">
        <v>1388</v>
      </c>
      <c r="I350" t="s">
        <v>1392</v>
      </c>
      <c r="J350" t="s">
        <v>1395</v>
      </c>
      <c r="K350" t="s">
        <v>1640</v>
      </c>
      <c r="L350">
        <v>296.86</v>
      </c>
      <c r="M350">
        <v>5</v>
      </c>
      <c r="N350">
        <v>0</v>
      </c>
      <c r="O350">
        <v>-28.12</v>
      </c>
      <c r="P350">
        <v>59.372</v>
      </c>
      <c r="Q350">
        <f>Table1_2[[#This Row],[Ship Date]]-Table1_2[[#This Row],[order date]]</f>
        <v>1</v>
      </c>
      <c r="R350" s="3">
        <f>Table1_2[[#This Row],[Profit]]/Table1_2[[#This Row],[Sales]]</f>
        <v>-9.4724786094455296E-2</v>
      </c>
    </row>
    <row r="351" spans="1:18" x14ac:dyDescent="0.3">
      <c r="A351" t="s">
        <v>364</v>
      </c>
      <c r="B351" s="2">
        <v>45351</v>
      </c>
      <c r="C351" s="2">
        <v>45358</v>
      </c>
      <c r="D351" t="s">
        <v>1371</v>
      </c>
      <c r="E351" t="s">
        <v>1375</v>
      </c>
      <c r="F351" t="s">
        <v>1379</v>
      </c>
      <c r="G351" t="s">
        <v>1385</v>
      </c>
      <c r="H351" t="s">
        <v>1390</v>
      </c>
      <c r="I351" t="s">
        <v>1393</v>
      </c>
      <c r="J351" t="s">
        <v>1400</v>
      </c>
      <c r="K351" t="s">
        <v>1641</v>
      </c>
      <c r="L351">
        <v>142.63999999999999</v>
      </c>
      <c r="M351">
        <v>10</v>
      </c>
      <c r="N351">
        <v>0.1</v>
      </c>
      <c r="O351">
        <v>-22.51</v>
      </c>
      <c r="P351">
        <v>14.263999999999999</v>
      </c>
      <c r="Q351">
        <f>Table1_2[[#This Row],[Ship Date]]-Table1_2[[#This Row],[order date]]</f>
        <v>7</v>
      </c>
      <c r="R351" s="3">
        <f>Table1_2[[#This Row],[Profit]]/Table1_2[[#This Row],[Sales]]</f>
        <v>-0.15780987100392599</v>
      </c>
    </row>
    <row r="352" spans="1:18" hidden="1" x14ac:dyDescent="0.3">
      <c r="A352" t="s">
        <v>365</v>
      </c>
      <c r="B352" s="2"/>
      <c r="C352" s="2">
        <v>45104</v>
      </c>
      <c r="D352" t="s">
        <v>1362</v>
      </c>
      <c r="E352" t="s">
        <v>1376</v>
      </c>
      <c r="F352" t="s">
        <v>1704</v>
      </c>
      <c r="G352" t="s">
        <v>1382</v>
      </c>
      <c r="H352" t="s">
        <v>1390</v>
      </c>
      <c r="I352" t="s">
        <v>1392</v>
      </c>
      <c r="J352" t="s">
        <v>1401</v>
      </c>
      <c r="K352" t="s">
        <v>1575</v>
      </c>
      <c r="L352">
        <v>802.99</v>
      </c>
      <c r="M352">
        <v>6</v>
      </c>
      <c r="N352">
        <v>0.2</v>
      </c>
      <c r="O352">
        <v>26.98</v>
      </c>
      <c r="P352">
        <v>133.83170000000001</v>
      </c>
      <c r="Q352">
        <f>Table1_2[[#This Row],[Ship Date]]-Table1_2[[#This Row],[order date]]</f>
        <v>45104</v>
      </c>
      <c r="R352">
        <f>Table1_2[[#This Row],[Profit]]/Table1_2[[#This Row],[Sales]]</f>
        <v>3.3599422159678205E-2</v>
      </c>
    </row>
    <row r="353" spans="1:18" x14ac:dyDescent="0.3">
      <c r="A353" t="s">
        <v>366</v>
      </c>
      <c r="B353" s="2">
        <v>45025</v>
      </c>
      <c r="C353" s="2">
        <v>45181</v>
      </c>
      <c r="D353" t="s">
        <v>1360</v>
      </c>
      <c r="E353" t="s">
        <v>1376</v>
      </c>
      <c r="F353" t="s">
        <v>1704</v>
      </c>
      <c r="G353" t="s">
        <v>1383</v>
      </c>
      <c r="H353" t="s">
        <v>1390</v>
      </c>
      <c r="I353" t="s">
        <v>1393</v>
      </c>
      <c r="J353" t="s">
        <v>1396</v>
      </c>
      <c r="K353" t="s">
        <v>1511</v>
      </c>
      <c r="L353">
        <v>770.3</v>
      </c>
      <c r="M353">
        <v>10</v>
      </c>
      <c r="N353">
        <v>0.2</v>
      </c>
      <c r="O353">
        <v>47.55</v>
      </c>
      <c r="P353">
        <v>77.03</v>
      </c>
      <c r="Q353">
        <f>Table1_2[[#This Row],[Ship Date]]-Table1_2[[#This Row],[order date]]</f>
        <v>156</v>
      </c>
      <c r="R353" s="3">
        <f>Table1_2[[#This Row],[Profit]]/Table1_2[[#This Row],[Sales]]</f>
        <v>6.1729196416980395E-2</v>
      </c>
    </row>
    <row r="354" spans="1:18" x14ac:dyDescent="0.3">
      <c r="A354" t="s">
        <v>367</v>
      </c>
      <c r="B354" s="2">
        <v>45014</v>
      </c>
      <c r="C354" s="2">
        <v>45019</v>
      </c>
      <c r="D354" t="s">
        <v>1372</v>
      </c>
      <c r="E354" t="s">
        <v>1376</v>
      </c>
      <c r="F354" t="s">
        <v>1379</v>
      </c>
      <c r="G354" t="s">
        <v>1382</v>
      </c>
      <c r="H354" t="s">
        <v>1389</v>
      </c>
      <c r="I354" t="s">
        <v>1394</v>
      </c>
      <c r="J354" t="s">
        <v>1403</v>
      </c>
      <c r="K354" t="s">
        <v>1642</v>
      </c>
      <c r="L354">
        <v>326.57</v>
      </c>
      <c r="M354">
        <v>5</v>
      </c>
      <c r="N354">
        <v>0</v>
      </c>
      <c r="O354">
        <v>-65.3</v>
      </c>
      <c r="P354">
        <v>65.313999999999993</v>
      </c>
      <c r="Q354">
        <f>Table1_2[[#This Row],[Ship Date]]-Table1_2[[#This Row],[order date]]</f>
        <v>5</v>
      </c>
      <c r="R354" s="3">
        <f>Table1_2[[#This Row],[Profit]]/Table1_2[[#This Row],[Sales]]</f>
        <v>-0.19995713017117309</v>
      </c>
    </row>
    <row r="355" spans="1:18" x14ac:dyDescent="0.3">
      <c r="A355" t="s">
        <v>368</v>
      </c>
      <c r="B355" s="2">
        <v>45021</v>
      </c>
      <c r="C355" s="2">
        <v>45055</v>
      </c>
      <c r="D355" t="s">
        <v>1371</v>
      </c>
      <c r="E355" t="s">
        <v>1376</v>
      </c>
      <c r="F355" t="s">
        <v>1704</v>
      </c>
      <c r="G355" t="s">
        <v>1385</v>
      </c>
      <c r="H355" t="s">
        <v>1390</v>
      </c>
      <c r="I355" t="s">
        <v>1392</v>
      </c>
      <c r="J355" t="s">
        <v>1397</v>
      </c>
      <c r="K355" t="s">
        <v>1643</v>
      </c>
      <c r="L355">
        <v>961.6</v>
      </c>
      <c r="M355">
        <v>10</v>
      </c>
      <c r="N355">
        <v>0.1</v>
      </c>
      <c r="O355">
        <v>190.77</v>
      </c>
      <c r="P355">
        <v>96.16</v>
      </c>
      <c r="Q355">
        <f>Table1_2[[#This Row],[Ship Date]]-Table1_2[[#This Row],[order date]]</f>
        <v>34</v>
      </c>
      <c r="R355" s="3">
        <f>Table1_2[[#This Row],[Profit]]/Table1_2[[#This Row],[Sales]]</f>
        <v>0.19838810316139768</v>
      </c>
    </row>
    <row r="356" spans="1:18" hidden="1" x14ac:dyDescent="0.3">
      <c r="A356" t="s">
        <v>369</v>
      </c>
      <c r="B356" s="2">
        <v>45352</v>
      </c>
      <c r="C356" s="2">
        <v>45301</v>
      </c>
      <c r="D356" t="s">
        <v>1372</v>
      </c>
      <c r="E356" t="s">
        <v>1374</v>
      </c>
      <c r="F356" t="s">
        <v>1379</v>
      </c>
      <c r="G356" t="s">
        <v>1385</v>
      </c>
      <c r="H356" t="s">
        <v>1390</v>
      </c>
      <c r="I356" t="s">
        <v>1394</v>
      </c>
      <c r="J356" t="s">
        <v>1402</v>
      </c>
      <c r="K356" t="s">
        <v>1644</v>
      </c>
      <c r="L356">
        <v>330.32</v>
      </c>
      <c r="M356">
        <v>7</v>
      </c>
      <c r="N356">
        <v>0.1</v>
      </c>
      <c r="O356">
        <v>19.260000000000002</v>
      </c>
      <c r="P356">
        <v>47.188600000000001</v>
      </c>
      <c r="Q356">
        <f>Table1_2[[#This Row],[Ship Date]]-Table1_2[[#This Row],[order date]]</f>
        <v>-51</v>
      </c>
      <c r="R356">
        <f>Table1_2[[#This Row],[Profit]]/Table1_2[[#This Row],[Sales]]</f>
        <v>5.8307096149188671E-2</v>
      </c>
    </row>
    <row r="357" spans="1:18" x14ac:dyDescent="0.3">
      <c r="A357" t="s">
        <v>370</v>
      </c>
      <c r="B357" s="2">
        <v>44719</v>
      </c>
      <c r="C357" s="2">
        <v>44751</v>
      </c>
      <c r="D357" t="s">
        <v>1367</v>
      </c>
      <c r="E357" t="s">
        <v>1376</v>
      </c>
      <c r="F357" t="s">
        <v>1379</v>
      </c>
      <c r="G357" t="s">
        <v>1387</v>
      </c>
      <c r="H357" t="s">
        <v>1388</v>
      </c>
      <c r="I357" t="s">
        <v>1394</v>
      </c>
      <c r="J357" t="s">
        <v>1402</v>
      </c>
      <c r="K357" t="s">
        <v>1645</v>
      </c>
      <c r="L357">
        <v>771.53</v>
      </c>
      <c r="M357">
        <v>10</v>
      </c>
      <c r="N357">
        <v>0.2</v>
      </c>
      <c r="O357">
        <v>-49.33</v>
      </c>
      <c r="P357">
        <v>77.153000000000006</v>
      </c>
      <c r="Q357">
        <f>Table1_2[[#This Row],[Ship Date]]-Table1_2[[#This Row],[order date]]</f>
        <v>32</v>
      </c>
      <c r="R357" s="3">
        <f>Table1_2[[#This Row],[Profit]]/Table1_2[[#This Row],[Sales]]</f>
        <v>-6.3937889647842597E-2</v>
      </c>
    </row>
    <row r="358" spans="1:18" x14ac:dyDescent="0.3">
      <c r="A358" t="s">
        <v>371</v>
      </c>
      <c r="B358" s="2">
        <v>44584</v>
      </c>
      <c r="C358" s="2">
        <v>44587</v>
      </c>
      <c r="D358" t="s">
        <v>1366</v>
      </c>
      <c r="E358" t="s">
        <v>1375</v>
      </c>
      <c r="F358" t="s">
        <v>1379</v>
      </c>
      <c r="G358" t="s">
        <v>1385</v>
      </c>
      <c r="H358" t="s">
        <v>1391</v>
      </c>
      <c r="I358" t="s">
        <v>1392</v>
      </c>
      <c r="J358" t="s">
        <v>1397</v>
      </c>
      <c r="K358" t="s">
        <v>1646</v>
      </c>
      <c r="L358">
        <v>337.65</v>
      </c>
      <c r="M358">
        <v>8</v>
      </c>
      <c r="N358">
        <v>0</v>
      </c>
      <c r="O358">
        <v>-28.23</v>
      </c>
      <c r="P358">
        <v>42.206200000000003</v>
      </c>
      <c r="Q358">
        <f>Table1_2[[#This Row],[Ship Date]]-Table1_2[[#This Row],[order date]]</f>
        <v>3</v>
      </c>
      <c r="R358" s="3">
        <f>Table1_2[[#This Row],[Profit]]/Table1_2[[#This Row],[Sales]]</f>
        <v>-8.3607285650821858E-2</v>
      </c>
    </row>
    <row r="359" spans="1:18" x14ac:dyDescent="0.3">
      <c r="A359" t="s">
        <v>372</v>
      </c>
      <c r="B359" s="2">
        <v>44942</v>
      </c>
      <c r="C359" s="2">
        <v>44950</v>
      </c>
      <c r="D359" t="s">
        <v>1361</v>
      </c>
      <c r="E359" t="s">
        <v>1376</v>
      </c>
      <c r="F359" t="s">
        <v>1704</v>
      </c>
      <c r="G359" t="s">
        <v>1387</v>
      </c>
      <c r="H359" t="s">
        <v>1391</v>
      </c>
      <c r="I359" t="s">
        <v>1393</v>
      </c>
      <c r="J359" t="s">
        <v>1400</v>
      </c>
      <c r="K359" t="s">
        <v>1647</v>
      </c>
      <c r="L359">
        <v>409.69</v>
      </c>
      <c r="M359">
        <v>3</v>
      </c>
      <c r="N359">
        <v>0</v>
      </c>
      <c r="O359">
        <v>-27.35</v>
      </c>
      <c r="P359">
        <v>136.5633</v>
      </c>
      <c r="Q359">
        <f>Table1_2[[#This Row],[Ship Date]]-Table1_2[[#This Row],[order date]]</f>
        <v>8</v>
      </c>
      <c r="R359" s="3">
        <f>Table1_2[[#This Row],[Profit]]/Table1_2[[#This Row],[Sales]]</f>
        <v>-6.6757792477238898E-2</v>
      </c>
    </row>
    <row r="360" spans="1:18" x14ac:dyDescent="0.3">
      <c r="A360" t="s">
        <v>373</v>
      </c>
      <c r="B360" s="2">
        <v>45410</v>
      </c>
      <c r="C360" s="2">
        <v>45411</v>
      </c>
      <c r="D360" t="s">
        <v>1368</v>
      </c>
      <c r="E360" t="s">
        <v>1374</v>
      </c>
      <c r="F360" t="s">
        <v>1379</v>
      </c>
      <c r="G360" t="s">
        <v>1383</v>
      </c>
      <c r="H360" t="s">
        <v>1390</v>
      </c>
      <c r="I360" t="s">
        <v>1392</v>
      </c>
      <c r="J360" t="s">
        <v>1395</v>
      </c>
      <c r="K360" t="s">
        <v>1626</v>
      </c>
      <c r="L360">
        <v>313.77999999999997</v>
      </c>
      <c r="M360">
        <v>8</v>
      </c>
      <c r="N360">
        <v>0.1</v>
      </c>
      <c r="O360">
        <v>52.97</v>
      </c>
      <c r="P360">
        <v>39.222499999999997</v>
      </c>
      <c r="Q360">
        <f>Table1_2[[#This Row],[Ship Date]]-Table1_2[[#This Row],[order date]]</f>
        <v>1</v>
      </c>
      <c r="R360" s="3">
        <f>Table1_2[[#This Row],[Profit]]/Table1_2[[#This Row],[Sales]]</f>
        <v>0.1688125438205112</v>
      </c>
    </row>
    <row r="361" spans="1:18" x14ac:dyDescent="0.3">
      <c r="A361" t="s">
        <v>374</v>
      </c>
      <c r="B361" s="2">
        <v>44960</v>
      </c>
      <c r="C361" s="2">
        <v>44965</v>
      </c>
      <c r="D361" t="s">
        <v>1365</v>
      </c>
      <c r="E361" t="s">
        <v>1376</v>
      </c>
      <c r="F361" t="s">
        <v>1704</v>
      </c>
      <c r="G361" t="s">
        <v>1384</v>
      </c>
      <c r="H361" t="s">
        <v>1388</v>
      </c>
      <c r="I361" t="s">
        <v>1394</v>
      </c>
      <c r="J361" t="s">
        <v>1402</v>
      </c>
      <c r="K361" t="s">
        <v>1425</v>
      </c>
      <c r="L361">
        <v>762.41</v>
      </c>
      <c r="M361">
        <v>1</v>
      </c>
      <c r="N361">
        <v>0</v>
      </c>
      <c r="O361">
        <v>46.1</v>
      </c>
      <c r="P361">
        <v>762.41</v>
      </c>
      <c r="Q361">
        <f>Table1_2[[#This Row],[Ship Date]]-Table1_2[[#This Row],[order date]]</f>
        <v>5</v>
      </c>
      <c r="R361" s="3">
        <f>Table1_2[[#This Row],[Profit]]/Table1_2[[#This Row],[Sales]]</f>
        <v>6.0466153382038541E-2</v>
      </c>
    </row>
    <row r="362" spans="1:18" hidden="1" x14ac:dyDescent="0.3">
      <c r="A362" t="s">
        <v>375</v>
      </c>
      <c r="B362" s="2">
        <v>44903</v>
      </c>
      <c r="C362" s="2">
        <v>44787</v>
      </c>
      <c r="D362" t="s">
        <v>1366</v>
      </c>
      <c r="E362" t="s">
        <v>1375</v>
      </c>
      <c r="F362" t="s">
        <v>1379</v>
      </c>
      <c r="G362" t="s">
        <v>1381</v>
      </c>
      <c r="H362" t="s">
        <v>1389</v>
      </c>
      <c r="I362" t="s">
        <v>1392</v>
      </c>
      <c r="J362" t="s">
        <v>1395</v>
      </c>
      <c r="K362" t="s">
        <v>1648</v>
      </c>
      <c r="L362">
        <v>532.30999999999995</v>
      </c>
      <c r="M362">
        <v>1</v>
      </c>
      <c r="N362">
        <v>0.1</v>
      </c>
      <c r="O362">
        <v>104.97</v>
      </c>
      <c r="P362">
        <v>532.30999999999995</v>
      </c>
      <c r="Q362">
        <f>Table1_2[[#This Row],[Ship Date]]-Table1_2[[#This Row],[order date]]</f>
        <v>-116</v>
      </c>
      <c r="R362">
        <f>Table1_2[[#This Row],[Profit]]/Table1_2[[#This Row],[Sales]]</f>
        <v>0.1971971219777949</v>
      </c>
    </row>
    <row r="363" spans="1:18" x14ac:dyDescent="0.3">
      <c r="A363" t="s">
        <v>376</v>
      </c>
      <c r="B363" s="2">
        <v>45172</v>
      </c>
      <c r="C363" s="2">
        <v>45175</v>
      </c>
      <c r="D363" t="s">
        <v>1369</v>
      </c>
      <c r="E363" t="s">
        <v>1376</v>
      </c>
      <c r="F363" t="s">
        <v>1704</v>
      </c>
      <c r="G363" t="s">
        <v>1382</v>
      </c>
      <c r="H363" t="s">
        <v>1388</v>
      </c>
      <c r="I363" t="s">
        <v>1394</v>
      </c>
      <c r="J363" t="s">
        <v>1402</v>
      </c>
      <c r="K363" t="s">
        <v>1477</v>
      </c>
      <c r="L363">
        <v>313.49</v>
      </c>
      <c r="M363">
        <v>8</v>
      </c>
      <c r="N363">
        <v>0</v>
      </c>
      <c r="O363">
        <v>44.82</v>
      </c>
      <c r="P363">
        <v>39.186300000000003</v>
      </c>
      <c r="Q363">
        <f>Table1_2[[#This Row],[Ship Date]]-Table1_2[[#This Row],[order date]]</f>
        <v>3</v>
      </c>
      <c r="R363" s="3">
        <f>Table1_2[[#This Row],[Profit]]/Table1_2[[#This Row],[Sales]]</f>
        <v>0.14297106765766052</v>
      </c>
    </row>
    <row r="364" spans="1:18" x14ac:dyDescent="0.3">
      <c r="A364" t="s">
        <v>377</v>
      </c>
      <c r="B364" s="2">
        <v>45061</v>
      </c>
      <c r="C364" s="2">
        <v>45065</v>
      </c>
      <c r="D364" t="s">
        <v>1373</v>
      </c>
      <c r="E364" t="s">
        <v>1374</v>
      </c>
      <c r="F364" t="s">
        <v>1704</v>
      </c>
      <c r="G364" t="s">
        <v>1384</v>
      </c>
      <c r="H364" t="s">
        <v>1388</v>
      </c>
      <c r="I364" t="s">
        <v>1394</v>
      </c>
      <c r="J364" t="s">
        <v>1398</v>
      </c>
      <c r="K364" t="s">
        <v>1440</v>
      </c>
      <c r="L364">
        <v>950.5</v>
      </c>
      <c r="M364">
        <v>6</v>
      </c>
      <c r="N364">
        <v>0.2</v>
      </c>
      <c r="O364">
        <v>158.35</v>
      </c>
      <c r="P364">
        <v>158.41669999999999</v>
      </c>
      <c r="Q364">
        <f>Table1_2[[#This Row],[Ship Date]]-Table1_2[[#This Row],[order date]]</f>
        <v>4</v>
      </c>
      <c r="R364" s="3">
        <f>Table1_2[[#This Row],[Profit]]/Table1_2[[#This Row],[Sales]]</f>
        <v>0.1665965281430826</v>
      </c>
    </row>
    <row r="365" spans="1:18" hidden="1" x14ac:dyDescent="0.3">
      <c r="A365" t="s">
        <v>378</v>
      </c>
      <c r="B365" s="2"/>
      <c r="C365" s="2">
        <v>45293</v>
      </c>
      <c r="D365" t="s">
        <v>1372</v>
      </c>
      <c r="E365" t="s">
        <v>1374</v>
      </c>
      <c r="F365" t="s">
        <v>1704</v>
      </c>
      <c r="G365" t="s">
        <v>1384</v>
      </c>
      <c r="H365" t="s">
        <v>1390</v>
      </c>
      <c r="I365" t="s">
        <v>1393</v>
      </c>
      <c r="J365" t="s">
        <v>1399</v>
      </c>
      <c r="K365" t="s">
        <v>1649</v>
      </c>
      <c r="L365">
        <v>660.43</v>
      </c>
      <c r="M365">
        <v>8</v>
      </c>
      <c r="N365">
        <v>0.1</v>
      </c>
      <c r="O365">
        <v>55.05</v>
      </c>
      <c r="P365">
        <v>82.553700000000006</v>
      </c>
      <c r="Q365">
        <f>Table1_2[[#This Row],[Ship Date]]-Table1_2[[#This Row],[order date]]</f>
        <v>45293</v>
      </c>
      <c r="R365">
        <f>Table1_2[[#This Row],[Profit]]/Table1_2[[#This Row],[Sales]]</f>
        <v>8.3354784004360791E-2</v>
      </c>
    </row>
    <row r="366" spans="1:18" hidden="1" x14ac:dyDescent="0.3">
      <c r="A366" t="s">
        <v>379</v>
      </c>
      <c r="B366" s="2"/>
      <c r="C366" s="2">
        <v>45108</v>
      </c>
      <c r="D366" t="s">
        <v>1360</v>
      </c>
      <c r="E366" t="s">
        <v>1374</v>
      </c>
      <c r="F366" t="s">
        <v>1704</v>
      </c>
      <c r="G366" t="s">
        <v>1381</v>
      </c>
      <c r="H366" t="s">
        <v>1391</v>
      </c>
      <c r="I366" t="s">
        <v>1394</v>
      </c>
      <c r="J366" t="s">
        <v>1403</v>
      </c>
      <c r="K366" t="s">
        <v>1593</v>
      </c>
      <c r="L366">
        <v>986.91</v>
      </c>
      <c r="M366">
        <v>9</v>
      </c>
      <c r="N366">
        <v>0.15</v>
      </c>
      <c r="O366">
        <v>26.69</v>
      </c>
      <c r="P366">
        <v>109.6567</v>
      </c>
      <c r="Q366">
        <f>Table1_2[[#This Row],[Ship Date]]-Table1_2[[#This Row],[order date]]</f>
        <v>45108</v>
      </c>
      <c r="R366">
        <f>Table1_2[[#This Row],[Profit]]/Table1_2[[#This Row],[Sales]]</f>
        <v>2.7044006039051181E-2</v>
      </c>
    </row>
    <row r="367" spans="1:18" hidden="1" x14ac:dyDescent="0.3">
      <c r="A367" t="s">
        <v>380</v>
      </c>
      <c r="B367" s="2"/>
      <c r="C367" s="2">
        <v>45201</v>
      </c>
      <c r="D367" t="s">
        <v>1365</v>
      </c>
      <c r="E367" t="s">
        <v>1375</v>
      </c>
      <c r="F367" t="s">
        <v>1379</v>
      </c>
      <c r="G367" t="s">
        <v>1384</v>
      </c>
      <c r="H367" t="s">
        <v>1389</v>
      </c>
      <c r="I367" t="s">
        <v>1394</v>
      </c>
      <c r="J367" t="s">
        <v>1398</v>
      </c>
      <c r="K367" t="s">
        <v>1456</v>
      </c>
      <c r="L367">
        <v>94.74</v>
      </c>
      <c r="M367">
        <v>9</v>
      </c>
      <c r="N367">
        <v>0.2</v>
      </c>
      <c r="O367">
        <v>-9.9499999999999993</v>
      </c>
      <c r="P367">
        <v>10.5267</v>
      </c>
      <c r="Q367">
        <f>Table1_2[[#This Row],[Ship Date]]-Table1_2[[#This Row],[order date]]</f>
        <v>45201</v>
      </c>
      <c r="R367">
        <f>Table1_2[[#This Row],[Profit]]/Table1_2[[#This Row],[Sales]]</f>
        <v>-0.10502427696854549</v>
      </c>
    </row>
    <row r="368" spans="1:18" x14ac:dyDescent="0.3">
      <c r="A368" t="s">
        <v>381</v>
      </c>
      <c r="B368" s="2">
        <v>44891</v>
      </c>
      <c r="C368" s="2">
        <v>44893</v>
      </c>
      <c r="D368" t="s">
        <v>1363</v>
      </c>
      <c r="E368" t="s">
        <v>1376</v>
      </c>
      <c r="F368" t="s">
        <v>1704</v>
      </c>
      <c r="G368" t="s">
        <v>1381</v>
      </c>
      <c r="H368" t="s">
        <v>1388</v>
      </c>
      <c r="I368" t="s">
        <v>1392</v>
      </c>
      <c r="J368" t="s">
        <v>1395</v>
      </c>
      <c r="K368" t="s">
        <v>1650</v>
      </c>
      <c r="L368">
        <v>797.49</v>
      </c>
      <c r="M368">
        <v>1</v>
      </c>
      <c r="N368">
        <v>0.1</v>
      </c>
      <c r="O368">
        <v>-88.27</v>
      </c>
      <c r="P368">
        <v>797.49</v>
      </c>
      <c r="Q368">
        <f>Table1_2[[#This Row],[Ship Date]]-Table1_2[[#This Row],[order date]]</f>
        <v>2</v>
      </c>
      <c r="R368" s="3">
        <f>Table1_2[[#This Row],[Profit]]/Table1_2[[#This Row],[Sales]]</f>
        <v>-0.1106847734767834</v>
      </c>
    </row>
    <row r="369" spans="1:18" x14ac:dyDescent="0.3">
      <c r="A369" t="s">
        <v>382</v>
      </c>
      <c r="B369" s="2">
        <v>45219</v>
      </c>
      <c r="C369" s="2">
        <v>45226</v>
      </c>
      <c r="D369" t="s">
        <v>1364</v>
      </c>
      <c r="E369" t="s">
        <v>1375</v>
      </c>
      <c r="F369" t="s">
        <v>1379</v>
      </c>
      <c r="G369" t="s">
        <v>1387</v>
      </c>
      <c r="H369" t="s">
        <v>1389</v>
      </c>
      <c r="I369" t="s">
        <v>1393</v>
      </c>
      <c r="J369" t="s">
        <v>1399</v>
      </c>
      <c r="K369" t="s">
        <v>1487</v>
      </c>
      <c r="L369">
        <v>640.47</v>
      </c>
      <c r="M369">
        <v>10</v>
      </c>
      <c r="N369">
        <v>0.15</v>
      </c>
      <c r="O369">
        <v>-112.38</v>
      </c>
      <c r="P369">
        <v>64.046999999999997</v>
      </c>
      <c r="Q369">
        <f>Table1_2[[#This Row],[Ship Date]]-Table1_2[[#This Row],[order date]]</f>
        <v>7</v>
      </c>
      <c r="R369" s="3">
        <f>Table1_2[[#This Row],[Profit]]/Table1_2[[#This Row],[Sales]]</f>
        <v>-0.17546489296922571</v>
      </c>
    </row>
    <row r="370" spans="1:18" x14ac:dyDescent="0.3">
      <c r="A370" t="s">
        <v>383</v>
      </c>
      <c r="B370" s="2">
        <v>45041</v>
      </c>
      <c r="C370" s="2">
        <v>45042</v>
      </c>
      <c r="D370" t="s">
        <v>1360</v>
      </c>
      <c r="E370" t="s">
        <v>1374</v>
      </c>
      <c r="F370" t="s">
        <v>1379</v>
      </c>
      <c r="G370" t="s">
        <v>1382</v>
      </c>
      <c r="H370" t="s">
        <v>1388</v>
      </c>
      <c r="I370" t="s">
        <v>1394</v>
      </c>
      <c r="J370" t="s">
        <v>1398</v>
      </c>
      <c r="K370" t="s">
        <v>1651</v>
      </c>
      <c r="L370">
        <v>897.3</v>
      </c>
      <c r="M370">
        <v>7</v>
      </c>
      <c r="N370">
        <v>0.15</v>
      </c>
      <c r="O370">
        <v>176.88</v>
      </c>
      <c r="P370">
        <v>128.1857</v>
      </c>
      <c r="Q370">
        <f>Table1_2[[#This Row],[Ship Date]]-Table1_2[[#This Row],[order date]]</f>
        <v>1</v>
      </c>
      <c r="R370" s="3">
        <f>Table1_2[[#This Row],[Profit]]/Table1_2[[#This Row],[Sales]]</f>
        <v>0.19712470745570043</v>
      </c>
    </row>
    <row r="371" spans="1:18" x14ac:dyDescent="0.3">
      <c r="A371" t="s">
        <v>384</v>
      </c>
      <c r="B371" s="2">
        <v>44641</v>
      </c>
      <c r="C371" s="2">
        <v>44645</v>
      </c>
      <c r="D371" t="s">
        <v>1364</v>
      </c>
      <c r="E371" t="s">
        <v>1375</v>
      </c>
      <c r="F371" t="s">
        <v>1704</v>
      </c>
      <c r="G371" t="s">
        <v>1383</v>
      </c>
      <c r="H371" t="s">
        <v>1389</v>
      </c>
      <c r="I371" t="s">
        <v>1393</v>
      </c>
      <c r="J371" t="s">
        <v>1400</v>
      </c>
      <c r="K371" t="s">
        <v>1652</v>
      </c>
      <c r="L371">
        <v>139.44999999999999</v>
      </c>
      <c r="M371">
        <v>4</v>
      </c>
      <c r="N371">
        <v>0</v>
      </c>
      <c r="O371">
        <v>-1.02</v>
      </c>
      <c r="P371">
        <v>34.862499999999997</v>
      </c>
      <c r="Q371">
        <f>Table1_2[[#This Row],[Ship Date]]-Table1_2[[#This Row],[order date]]</f>
        <v>4</v>
      </c>
      <c r="R371" s="3">
        <f>Table1_2[[#This Row],[Profit]]/Table1_2[[#This Row],[Sales]]</f>
        <v>-7.3144496235209759E-3</v>
      </c>
    </row>
    <row r="372" spans="1:18" x14ac:dyDescent="0.3">
      <c r="A372" t="s">
        <v>385</v>
      </c>
      <c r="B372" s="2">
        <v>44670</v>
      </c>
      <c r="C372" s="2">
        <v>44680</v>
      </c>
      <c r="D372" t="s">
        <v>1360</v>
      </c>
      <c r="E372" t="s">
        <v>1374</v>
      </c>
      <c r="F372" t="s">
        <v>1379</v>
      </c>
      <c r="G372" t="s">
        <v>1382</v>
      </c>
      <c r="H372" t="s">
        <v>1390</v>
      </c>
      <c r="I372" t="s">
        <v>1394</v>
      </c>
      <c r="J372" t="s">
        <v>1398</v>
      </c>
      <c r="K372" t="s">
        <v>1408</v>
      </c>
      <c r="L372">
        <v>561.29</v>
      </c>
      <c r="M372">
        <v>7</v>
      </c>
      <c r="N372">
        <v>0</v>
      </c>
      <c r="O372">
        <v>-65.44</v>
      </c>
      <c r="P372">
        <v>80.184299999999993</v>
      </c>
      <c r="Q372">
        <f>Table1_2[[#This Row],[Ship Date]]-Table1_2[[#This Row],[order date]]</f>
        <v>10</v>
      </c>
      <c r="R372" s="3">
        <f>Table1_2[[#This Row],[Profit]]/Table1_2[[#This Row],[Sales]]</f>
        <v>-0.11658857275205331</v>
      </c>
    </row>
    <row r="373" spans="1:18" x14ac:dyDescent="0.3">
      <c r="A373" t="s">
        <v>386</v>
      </c>
      <c r="B373" s="2">
        <v>45116</v>
      </c>
      <c r="C373" s="2">
        <v>45184</v>
      </c>
      <c r="D373" t="s">
        <v>1365</v>
      </c>
      <c r="E373" t="s">
        <v>1376</v>
      </c>
      <c r="F373" t="s">
        <v>1704</v>
      </c>
      <c r="G373" t="s">
        <v>1383</v>
      </c>
      <c r="H373" t="s">
        <v>1390</v>
      </c>
      <c r="I373" t="s">
        <v>1394</v>
      </c>
      <c r="J373" t="s">
        <v>1403</v>
      </c>
      <c r="K373" t="s">
        <v>1653</v>
      </c>
      <c r="L373">
        <v>669.1</v>
      </c>
      <c r="M373">
        <v>6</v>
      </c>
      <c r="N373">
        <v>0.15</v>
      </c>
      <c r="O373">
        <v>4.13</v>
      </c>
      <c r="P373">
        <v>111.5167</v>
      </c>
      <c r="Q373">
        <f>Table1_2[[#This Row],[Ship Date]]-Table1_2[[#This Row],[order date]]</f>
        <v>68</v>
      </c>
      <c r="R373" s="3">
        <f>Table1_2[[#This Row],[Profit]]/Table1_2[[#This Row],[Sales]]</f>
        <v>6.172470482738006E-3</v>
      </c>
    </row>
    <row r="374" spans="1:18" x14ac:dyDescent="0.3">
      <c r="A374" t="s">
        <v>387</v>
      </c>
      <c r="B374" s="2">
        <v>45346</v>
      </c>
      <c r="C374" s="2">
        <v>45355</v>
      </c>
      <c r="D374" t="s">
        <v>1366</v>
      </c>
      <c r="E374" t="s">
        <v>1374</v>
      </c>
      <c r="F374" t="s">
        <v>1379</v>
      </c>
      <c r="G374" t="s">
        <v>1383</v>
      </c>
      <c r="H374" t="s">
        <v>1390</v>
      </c>
      <c r="I374" t="s">
        <v>1393</v>
      </c>
      <c r="J374" t="s">
        <v>1399</v>
      </c>
      <c r="K374" t="s">
        <v>1654</v>
      </c>
      <c r="L374">
        <v>444.81</v>
      </c>
      <c r="M374">
        <v>8</v>
      </c>
      <c r="N374">
        <v>0.2</v>
      </c>
      <c r="O374">
        <v>124.51</v>
      </c>
      <c r="P374">
        <v>55.601300000000002</v>
      </c>
      <c r="Q374">
        <f>Table1_2[[#This Row],[Ship Date]]-Table1_2[[#This Row],[order date]]</f>
        <v>9</v>
      </c>
      <c r="R374" s="3">
        <f>Table1_2[[#This Row],[Profit]]/Table1_2[[#This Row],[Sales]]</f>
        <v>0.27991726804703132</v>
      </c>
    </row>
    <row r="375" spans="1:18" hidden="1" x14ac:dyDescent="0.3">
      <c r="A375" t="s">
        <v>388</v>
      </c>
      <c r="B375" s="2">
        <v>44743</v>
      </c>
      <c r="C375" s="2">
        <v>44573</v>
      </c>
      <c r="D375" t="s">
        <v>1364</v>
      </c>
      <c r="E375" t="s">
        <v>1374</v>
      </c>
      <c r="F375" t="s">
        <v>1704</v>
      </c>
      <c r="G375" t="s">
        <v>1381</v>
      </c>
      <c r="H375" t="s">
        <v>1388</v>
      </c>
      <c r="I375" t="s">
        <v>1392</v>
      </c>
      <c r="J375" t="s">
        <v>1401</v>
      </c>
      <c r="K375" t="s">
        <v>1484</v>
      </c>
      <c r="L375">
        <v>1029.75</v>
      </c>
      <c r="M375">
        <v>1</v>
      </c>
      <c r="N375">
        <v>0.15</v>
      </c>
      <c r="O375">
        <v>267.27999999999997</v>
      </c>
      <c r="P375">
        <v>1029.75</v>
      </c>
      <c r="Q375">
        <f>Table1_2[[#This Row],[Ship Date]]-Table1_2[[#This Row],[order date]]</f>
        <v>-170</v>
      </c>
      <c r="R375">
        <f>Table1_2[[#This Row],[Profit]]/Table1_2[[#This Row],[Sales]]</f>
        <v>0.25955814518086912</v>
      </c>
    </row>
    <row r="376" spans="1:18" x14ac:dyDescent="0.3">
      <c r="A376" t="s">
        <v>389</v>
      </c>
      <c r="B376" s="2">
        <v>44926</v>
      </c>
      <c r="C376" s="2">
        <v>44929</v>
      </c>
      <c r="D376" t="s">
        <v>1361</v>
      </c>
      <c r="E376" t="s">
        <v>1376</v>
      </c>
      <c r="F376" t="s">
        <v>1704</v>
      </c>
      <c r="G376" t="s">
        <v>1382</v>
      </c>
      <c r="H376" t="s">
        <v>1388</v>
      </c>
      <c r="I376" t="s">
        <v>1392</v>
      </c>
      <c r="J376" t="s">
        <v>1397</v>
      </c>
      <c r="K376" t="s">
        <v>1632</v>
      </c>
      <c r="L376">
        <v>453.16</v>
      </c>
      <c r="M376">
        <v>10</v>
      </c>
      <c r="N376">
        <v>0.1</v>
      </c>
      <c r="O376">
        <v>-37.840000000000003</v>
      </c>
      <c r="P376">
        <v>45.316000000000003</v>
      </c>
      <c r="Q376">
        <f>Table1_2[[#This Row],[Ship Date]]-Table1_2[[#This Row],[order date]]</f>
        <v>3</v>
      </c>
      <c r="R376" s="3">
        <f>Table1_2[[#This Row],[Profit]]/Table1_2[[#This Row],[Sales]]</f>
        <v>-8.3502515667755323E-2</v>
      </c>
    </row>
    <row r="377" spans="1:18" x14ac:dyDescent="0.3">
      <c r="A377" t="s">
        <v>390</v>
      </c>
      <c r="B377" s="2">
        <v>44894</v>
      </c>
      <c r="C377" s="2">
        <v>44902</v>
      </c>
      <c r="D377" t="s">
        <v>1361</v>
      </c>
      <c r="E377" t="s">
        <v>1374</v>
      </c>
      <c r="F377" t="s">
        <v>1704</v>
      </c>
      <c r="G377" t="s">
        <v>1381</v>
      </c>
      <c r="H377" t="s">
        <v>1388</v>
      </c>
      <c r="I377" t="s">
        <v>1392</v>
      </c>
      <c r="J377" t="s">
        <v>1397</v>
      </c>
      <c r="K377" t="s">
        <v>1504</v>
      </c>
      <c r="L377">
        <v>994.33</v>
      </c>
      <c r="M377">
        <v>10</v>
      </c>
      <c r="N377">
        <v>0</v>
      </c>
      <c r="O377">
        <v>97.06</v>
      </c>
      <c r="P377">
        <v>99.433000000000007</v>
      </c>
      <c r="Q377">
        <f>Table1_2[[#This Row],[Ship Date]]-Table1_2[[#This Row],[order date]]</f>
        <v>8</v>
      </c>
      <c r="R377" s="3">
        <f>Table1_2[[#This Row],[Profit]]/Table1_2[[#This Row],[Sales]]</f>
        <v>9.7613468365633144E-2</v>
      </c>
    </row>
    <row r="378" spans="1:18" x14ac:dyDescent="0.3">
      <c r="A378" t="s">
        <v>391</v>
      </c>
      <c r="B378" s="2">
        <v>44816</v>
      </c>
      <c r="C378" s="2">
        <v>44910</v>
      </c>
      <c r="D378" t="s">
        <v>1361</v>
      </c>
      <c r="E378" t="s">
        <v>1374</v>
      </c>
      <c r="F378" t="s">
        <v>1704</v>
      </c>
      <c r="G378" t="s">
        <v>1381</v>
      </c>
      <c r="H378" t="s">
        <v>1391</v>
      </c>
      <c r="I378" t="s">
        <v>1394</v>
      </c>
      <c r="J378" t="s">
        <v>1403</v>
      </c>
      <c r="K378" t="s">
        <v>1655</v>
      </c>
      <c r="L378">
        <v>1117.69</v>
      </c>
      <c r="M378">
        <v>2</v>
      </c>
      <c r="N378">
        <v>0.1</v>
      </c>
      <c r="O378">
        <v>194.3</v>
      </c>
      <c r="P378">
        <v>558.84500000000003</v>
      </c>
      <c r="Q378">
        <f>Table1_2[[#This Row],[Ship Date]]-Table1_2[[#This Row],[order date]]</f>
        <v>94</v>
      </c>
      <c r="R378" s="3">
        <f>Table1_2[[#This Row],[Profit]]/Table1_2[[#This Row],[Sales]]</f>
        <v>0.17384068927878035</v>
      </c>
    </row>
    <row r="379" spans="1:18" hidden="1" x14ac:dyDescent="0.3">
      <c r="A379" t="s">
        <v>392</v>
      </c>
      <c r="B379" s="2">
        <v>44897</v>
      </c>
      <c r="C379" s="2">
        <v>44610</v>
      </c>
      <c r="D379" t="s">
        <v>1373</v>
      </c>
      <c r="E379" t="s">
        <v>1374</v>
      </c>
      <c r="F379" t="s">
        <v>1379</v>
      </c>
      <c r="G379" t="s">
        <v>1387</v>
      </c>
      <c r="H379" t="s">
        <v>1389</v>
      </c>
      <c r="I379" t="s">
        <v>1393</v>
      </c>
      <c r="J379" t="s">
        <v>1396</v>
      </c>
      <c r="K379" t="s">
        <v>1656</v>
      </c>
      <c r="L379">
        <v>196.5</v>
      </c>
      <c r="M379">
        <v>9</v>
      </c>
      <c r="N379">
        <v>0.1</v>
      </c>
      <c r="O379">
        <v>-24.25</v>
      </c>
      <c r="P379">
        <v>21.833300000000001</v>
      </c>
      <c r="Q379">
        <f>Table1_2[[#This Row],[Ship Date]]-Table1_2[[#This Row],[order date]]</f>
        <v>-287</v>
      </c>
      <c r="R379">
        <f>Table1_2[[#This Row],[Profit]]/Table1_2[[#This Row],[Sales]]</f>
        <v>-0.12340966921119594</v>
      </c>
    </row>
    <row r="380" spans="1:18" hidden="1" x14ac:dyDescent="0.3">
      <c r="A380" t="s">
        <v>393</v>
      </c>
      <c r="B380" s="2"/>
      <c r="C380" s="2">
        <v>45374</v>
      </c>
      <c r="D380" t="s">
        <v>1373</v>
      </c>
      <c r="E380" t="s">
        <v>1375</v>
      </c>
      <c r="F380" t="s">
        <v>1704</v>
      </c>
      <c r="G380" t="s">
        <v>1383</v>
      </c>
      <c r="H380" t="s">
        <v>1389</v>
      </c>
      <c r="I380" t="s">
        <v>1392</v>
      </c>
      <c r="J380" t="s">
        <v>1401</v>
      </c>
      <c r="K380" t="s">
        <v>1610</v>
      </c>
      <c r="L380">
        <v>416.68</v>
      </c>
      <c r="M380">
        <v>8</v>
      </c>
      <c r="N380">
        <v>0</v>
      </c>
      <c r="O380">
        <v>71.94</v>
      </c>
      <c r="P380">
        <v>52.085000000000001</v>
      </c>
      <c r="Q380">
        <f>Table1_2[[#This Row],[Ship Date]]-Table1_2[[#This Row],[order date]]</f>
        <v>45374</v>
      </c>
      <c r="R380">
        <f>Table1_2[[#This Row],[Profit]]/Table1_2[[#This Row],[Sales]]</f>
        <v>0.17265047518479407</v>
      </c>
    </row>
    <row r="381" spans="1:18" x14ac:dyDescent="0.3">
      <c r="A381" t="s">
        <v>394</v>
      </c>
      <c r="B381" s="2">
        <v>45276</v>
      </c>
      <c r="C381" s="2">
        <v>45279</v>
      </c>
      <c r="D381" t="s">
        <v>1364</v>
      </c>
      <c r="E381" t="s">
        <v>1374</v>
      </c>
      <c r="F381" t="s">
        <v>1704</v>
      </c>
      <c r="G381" t="s">
        <v>1387</v>
      </c>
      <c r="H381" t="s">
        <v>1388</v>
      </c>
      <c r="I381" t="s">
        <v>1392</v>
      </c>
      <c r="J381" t="s">
        <v>1397</v>
      </c>
      <c r="K381" t="s">
        <v>1555</v>
      </c>
      <c r="L381">
        <v>679.97</v>
      </c>
      <c r="M381">
        <v>8</v>
      </c>
      <c r="N381">
        <v>0.2</v>
      </c>
      <c r="O381">
        <v>85.76</v>
      </c>
      <c r="P381">
        <v>84.996300000000005</v>
      </c>
      <c r="Q381">
        <f>Table1_2[[#This Row],[Ship Date]]-Table1_2[[#This Row],[order date]]</f>
        <v>3</v>
      </c>
      <c r="R381" s="3">
        <f>Table1_2[[#This Row],[Profit]]/Table1_2[[#This Row],[Sales]]</f>
        <v>0.12612321131814638</v>
      </c>
    </row>
    <row r="382" spans="1:18" x14ac:dyDescent="0.3">
      <c r="A382" t="s">
        <v>395</v>
      </c>
      <c r="B382" s="2">
        <v>45357</v>
      </c>
      <c r="C382" s="2">
        <v>45364</v>
      </c>
      <c r="D382" t="s">
        <v>1372</v>
      </c>
      <c r="E382" t="s">
        <v>1375</v>
      </c>
      <c r="F382" t="s">
        <v>1379</v>
      </c>
      <c r="G382" t="s">
        <v>1384</v>
      </c>
      <c r="H382" t="s">
        <v>1388</v>
      </c>
      <c r="I382" t="s">
        <v>1394</v>
      </c>
      <c r="J382" t="s">
        <v>1398</v>
      </c>
      <c r="K382" t="s">
        <v>1657</v>
      </c>
      <c r="L382">
        <v>1110.48</v>
      </c>
      <c r="M382">
        <v>2</v>
      </c>
      <c r="N382">
        <v>0</v>
      </c>
      <c r="O382">
        <v>150.88999999999999</v>
      </c>
      <c r="P382">
        <v>555.24</v>
      </c>
      <c r="Q382">
        <f>Table1_2[[#This Row],[Ship Date]]-Table1_2[[#This Row],[order date]]</f>
        <v>7</v>
      </c>
      <c r="R382" s="3">
        <f>Table1_2[[#This Row],[Profit]]/Table1_2[[#This Row],[Sales]]</f>
        <v>0.13587817880556155</v>
      </c>
    </row>
    <row r="383" spans="1:18" x14ac:dyDescent="0.3">
      <c r="A383" t="s">
        <v>396</v>
      </c>
      <c r="B383" s="2">
        <v>44874</v>
      </c>
      <c r="C383" s="2">
        <v>44877</v>
      </c>
      <c r="D383" t="s">
        <v>1363</v>
      </c>
      <c r="E383" t="s">
        <v>1374</v>
      </c>
      <c r="F383" t="s">
        <v>1379</v>
      </c>
      <c r="G383" t="s">
        <v>1387</v>
      </c>
      <c r="H383" t="s">
        <v>1388</v>
      </c>
      <c r="I383" t="s">
        <v>1394</v>
      </c>
      <c r="J383" t="s">
        <v>1398</v>
      </c>
      <c r="K383" t="s">
        <v>1658</v>
      </c>
      <c r="L383">
        <v>989.47</v>
      </c>
      <c r="M383">
        <v>8</v>
      </c>
      <c r="N383">
        <v>0</v>
      </c>
      <c r="O383">
        <v>-125.75</v>
      </c>
      <c r="P383">
        <v>123.68380000000001</v>
      </c>
      <c r="Q383">
        <f>Table1_2[[#This Row],[Ship Date]]-Table1_2[[#This Row],[order date]]</f>
        <v>3</v>
      </c>
      <c r="R383" s="3">
        <f>Table1_2[[#This Row],[Profit]]/Table1_2[[#This Row],[Sales]]</f>
        <v>-0.12708823915833728</v>
      </c>
    </row>
    <row r="384" spans="1:18" x14ac:dyDescent="0.3">
      <c r="A384" t="s">
        <v>397</v>
      </c>
      <c r="B384" s="2">
        <v>45319</v>
      </c>
      <c r="C384" s="2">
        <v>45320</v>
      </c>
      <c r="D384" t="s">
        <v>1372</v>
      </c>
      <c r="E384" t="s">
        <v>1376</v>
      </c>
      <c r="F384" t="s">
        <v>1379</v>
      </c>
      <c r="G384" t="s">
        <v>1384</v>
      </c>
      <c r="H384" t="s">
        <v>1390</v>
      </c>
      <c r="I384" t="s">
        <v>1392</v>
      </c>
      <c r="J384" t="s">
        <v>1395</v>
      </c>
      <c r="K384" t="s">
        <v>1659</v>
      </c>
      <c r="L384">
        <v>1113.54</v>
      </c>
      <c r="M384">
        <v>5</v>
      </c>
      <c r="N384">
        <v>0</v>
      </c>
      <c r="O384">
        <v>-31.58</v>
      </c>
      <c r="P384">
        <v>222.708</v>
      </c>
      <c r="Q384">
        <f>Table1_2[[#This Row],[Ship Date]]-Table1_2[[#This Row],[order date]]</f>
        <v>1</v>
      </c>
      <c r="R384" s="3">
        <f>Table1_2[[#This Row],[Profit]]/Table1_2[[#This Row],[Sales]]</f>
        <v>-2.8360005029006589E-2</v>
      </c>
    </row>
    <row r="385" spans="1:18" x14ac:dyDescent="0.3">
      <c r="A385" t="s">
        <v>398</v>
      </c>
      <c r="B385" s="2">
        <v>45053</v>
      </c>
      <c r="C385" s="2">
        <v>45116</v>
      </c>
      <c r="D385" t="s">
        <v>1370</v>
      </c>
      <c r="E385" t="s">
        <v>1374</v>
      </c>
      <c r="F385" t="s">
        <v>1379</v>
      </c>
      <c r="G385" t="s">
        <v>1385</v>
      </c>
      <c r="H385" t="s">
        <v>1388</v>
      </c>
      <c r="I385" t="s">
        <v>1392</v>
      </c>
      <c r="J385" t="s">
        <v>1395</v>
      </c>
      <c r="K385" t="s">
        <v>1660</v>
      </c>
      <c r="L385">
        <v>637.45000000000005</v>
      </c>
      <c r="M385">
        <v>5</v>
      </c>
      <c r="N385">
        <v>0</v>
      </c>
      <c r="O385">
        <v>26.46</v>
      </c>
      <c r="P385">
        <v>127.49</v>
      </c>
      <c r="Q385">
        <f>Table1_2[[#This Row],[Ship Date]]-Table1_2[[#This Row],[order date]]</f>
        <v>63</v>
      </c>
      <c r="R385" s="3">
        <f>Table1_2[[#This Row],[Profit]]/Table1_2[[#This Row],[Sales]]</f>
        <v>4.1509137971605617E-2</v>
      </c>
    </row>
    <row r="386" spans="1:18" hidden="1" x14ac:dyDescent="0.3">
      <c r="A386" t="s">
        <v>399</v>
      </c>
      <c r="B386" s="2"/>
      <c r="C386" s="2">
        <v>44737</v>
      </c>
      <c r="D386" t="s">
        <v>1369</v>
      </c>
      <c r="E386" t="s">
        <v>1376</v>
      </c>
      <c r="F386" t="s">
        <v>1379</v>
      </c>
      <c r="G386" t="s">
        <v>1382</v>
      </c>
      <c r="H386" t="s">
        <v>1391</v>
      </c>
      <c r="I386" t="s">
        <v>1394</v>
      </c>
      <c r="J386" t="s">
        <v>1402</v>
      </c>
      <c r="K386" t="s">
        <v>1513</v>
      </c>
      <c r="L386">
        <v>951.24</v>
      </c>
      <c r="M386">
        <v>10</v>
      </c>
      <c r="N386">
        <v>0.15</v>
      </c>
      <c r="O386">
        <v>-165</v>
      </c>
      <c r="P386">
        <v>95.123999999999995</v>
      </c>
      <c r="Q386">
        <f>Table1_2[[#This Row],[Ship Date]]-Table1_2[[#This Row],[order date]]</f>
        <v>44737</v>
      </c>
      <c r="R386">
        <f>Table1_2[[#This Row],[Profit]]/Table1_2[[#This Row],[Sales]]</f>
        <v>-0.17345780244733192</v>
      </c>
    </row>
    <row r="387" spans="1:18" x14ac:dyDescent="0.3">
      <c r="A387" t="s">
        <v>400</v>
      </c>
      <c r="B387" s="2">
        <v>44581</v>
      </c>
      <c r="C387" s="2">
        <v>44586</v>
      </c>
      <c r="D387" t="s">
        <v>1372</v>
      </c>
      <c r="E387" t="s">
        <v>1374</v>
      </c>
      <c r="F387" t="s">
        <v>1379</v>
      </c>
      <c r="G387" t="s">
        <v>1387</v>
      </c>
      <c r="H387" t="s">
        <v>1390</v>
      </c>
      <c r="I387" t="s">
        <v>1393</v>
      </c>
      <c r="J387" t="s">
        <v>1399</v>
      </c>
      <c r="K387" t="s">
        <v>1661</v>
      </c>
      <c r="L387">
        <v>292.77999999999997</v>
      </c>
      <c r="M387">
        <v>7</v>
      </c>
      <c r="N387">
        <v>0</v>
      </c>
      <c r="O387">
        <v>84.41</v>
      </c>
      <c r="P387">
        <v>41.825699999999998</v>
      </c>
      <c r="Q387">
        <f>Table1_2[[#This Row],[Ship Date]]-Table1_2[[#This Row],[order date]]</f>
        <v>5</v>
      </c>
      <c r="R387" s="3">
        <f>Table1_2[[#This Row],[Profit]]/Table1_2[[#This Row],[Sales]]</f>
        <v>0.28830521210465199</v>
      </c>
    </row>
    <row r="388" spans="1:18" x14ac:dyDescent="0.3">
      <c r="A388" t="s">
        <v>401</v>
      </c>
      <c r="B388" s="2">
        <v>45030</v>
      </c>
      <c r="C388" s="2">
        <v>45039</v>
      </c>
      <c r="D388" t="s">
        <v>1363</v>
      </c>
      <c r="E388" t="s">
        <v>1376</v>
      </c>
      <c r="F388" t="s">
        <v>1379</v>
      </c>
      <c r="G388" t="s">
        <v>1384</v>
      </c>
      <c r="H388" t="s">
        <v>1391</v>
      </c>
      <c r="I388" t="s">
        <v>1393</v>
      </c>
      <c r="J388" t="s">
        <v>1400</v>
      </c>
      <c r="K388" t="s">
        <v>1662</v>
      </c>
      <c r="L388">
        <v>66.91</v>
      </c>
      <c r="M388">
        <v>9</v>
      </c>
      <c r="N388">
        <v>0.15</v>
      </c>
      <c r="O388">
        <v>-2.2200000000000002</v>
      </c>
      <c r="P388">
        <v>7.4344000000000001</v>
      </c>
      <c r="Q388">
        <f>Table1_2[[#This Row],[Ship Date]]-Table1_2[[#This Row],[order date]]</f>
        <v>9</v>
      </c>
      <c r="R388" s="3">
        <f>Table1_2[[#This Row],[Profit]]/Table1_2[[#This Row],[Sales]]</f>
        <v>-3.3178897025855629E-2</v>
      </c>
    </row>
    <row r="389" spans="1:18" x14ac:dyDescent="0.3">
      <c r="A389" t="s">
        <v>402</v>
      </c>
      <c r="B389" s="2">
        <v>45075</v>
      </c>
      <c r="C389" s="2">
        <v>45080</v>
      </c>
      <c r="D389" t="s">
        <v>1363</v>
      </c>
      <c r="E389" t="s">
        <v>1376</v>
      </c>
      <c r="F389" t="s">
        <v>1704</v>
      </c>
      <c r="G389" t="s">
        <v>1382</v>
      </c>
      <c r="H389" t="s">
        <v>1390</v>
      </c>
      <c r="I389" t="s">
        <v>1392</v>
      </c>
      <c r="J389" t="s">
        <v>1395</v>
      </c>
      <c r="K389" t="s">
        <v>1404</v>
      </c>
      <c r="L389">
        <v>324.06</v>
      </c>
      <c r="M389">
        <v>7</v>
      </c>
      <c r="N389">
        <v>0</v>
      </c>
      <c r="O389">
        <v>88.17</v>
      </c>
      <c r="P389">
        <v>46.2943</v>
      </c>
      <c r="Q389">
        <f>Table1_2[[#This Row],[Ship Date]]-Table1_2[[#This Row],[order date]]</f>
        <v>5</v>
      </c>
      <c r="R389" s="3">
        <f>Table1_2[[#This Row],[Profit]]/Table1_2[[#This Row],[Sales]]</f>
        <v>0.27207924458433624</v>
      </c>
    </row>
    <row r="390" spans="1:18" x14ac:dyDescent="0.3">
      <c r="A390" t="s">
        <v>403</v>
      </c>
      <c r="B390" s="2">
        <v>45309</v>
      </c>
      <c r="C390" s="2">
        <v>45316</v>
      </c>
      <c r="D390" t="s">
        <v>1373</v>
      </c>
      <c r="E390" t="s">
        <v>1374</v>
      </c>
      <c r="F390" t="s">
        <v>1379</v>
      </c>
      <c r="G390" t="s">
        <v>1385</v>
      </c>
      <c r="H390" t="s">
        <v>1390</v>
      </c>
      <c r="I390" t="s">
        <v>1393</v>
      </c>
      <c r="J390" t="s">
        <v>1396</v>
      </c>
      <c r="K390" t="s">
        <v>1663</v>
      </c>
      <c r="L390">
        <v>742.69</v>
      </c>
      <c r="M390">
        <v>4</v>
      </c>
      <c r="N390">
        <v>0.2</v>
      </c>
      <c r="O390">
        <v>-59.28</v>
      </c>
      <c r="P390">
        <v>185.67250000000001</v>
      </c>
      <c r="Q390">
        <f>Table1_2[[#This Row],[Ship Date]]-Table1_2[[#This Row],[order date]]</f>
        <v>7</v>
      </c>
      <c r="R390" s="3">
        <f>Table1_2[[#This Row],[Profit]]/Table1_2[[#This Row],[Sales]]</f>
        <v>-7.9817959040784175E-2</v>
      </c>
    </row>
    <row r="391" spans="1:18" hidden="1" x14ac:dyDescent="0.3">
      <c r="A391" t="s">
        <v>404</v>
      </c>
      <c r="B391" s="2"/>
      <c r="C391" s="2">
        <v>45233</v>
      </c>
      <c r="D391" t="s">
        <v>1359</v>
      </c>
      <c r="E391" t="s">
        <v>1376</v>
      </c>
      <c r="F391" t="s">
        <v>1704</v>
      </c>
      <c r="G391" t="s">
        <v>1382</v>
      </c>
      <c r="H391" t="s">
        <v>1390</v>
      </c>
      <c r="I391" t="s">
        <v>1393</v>
      </c>
      <c r="J391" t="s">
        <v>1396</v>
      </c>
      <c r="K391" t="s">
        <v>1664</v>
      </c>
      <c r="L391">
        <v>827.18</v>
      </c>
      <c r="M391">
        <v>4</v>
      </c>
      <c r="N391">
        <v>0.1</v>
      </c>
      <c r="O391">
        <v>-37.64</v>
      </c>
      <c r="P391">
        <v>206.79499999999999</v>
      </c>
      <c r="Q391">
        <f>Table1_2[[#This Row],[Ship Date]]-Table1_2[[#This Row],[order date]]</f>
        <v>45233</v>
      </c>
      <c r="R391">
        <f>Table1_2[[#This Row],[Profit]]/Table1_2[[#This Row],[Sales]]</f>
        <v>-4.5504001547426197E-2</v>
      </c>
    </row>
    <row r="392" spans="1:18" x14ac:dyDescent="0.3">
      <c r="A392" t="s">
        <v>405</v>
      </c>
      <c r="B392" s="2">
        <v>44631</v>
      </c>
      <c r="C392" s="2">
        <v>44640</v>
      </c>
      <c r="D392" t="s">
        <v>1373</v>
      </c>
      <c r="E392" t="s">
        <v>1376</v>
      </c>
      <c r="F392" t="s">
        <v>1704</v>
      </c>
      <c r="G392" t="s">
        <v>1382</v>
      </c>
      <c r="H392" t="s">
        <v>1391</v>
      </c>
      <c r="I392" t="s">
        <v>1393</v>
      </c>
      <c r="J392" t="s">
        <v>1396</v>
      </c>
      <c r="K392" t="s">
        <v>1665</v>
      </c>
      <c r="L392">
        <v>159.69999999999999</v>
      </c>
      <c r="M392">
        <v>6</v>
      </c>
      <c r="N392">
        <v>0.1</v>
      </c>
      <c r="O392">
        <v>26.12</v>
      </c>
      <c r="P392">
        <v>26.616700000000002</v>
      </c>
      <c r="Q392">
        <f>Table1_2[[#This Row],[Ship Date]]-Table1_2[[#This Row],[order date]]</f>
        <v>9</v>
      </c>
      <c r="R392" s="3">
        <f>Table1_2[[#This Row],[Profit]]/Table1_2[[#This Row],[Sales]]</f>
        <v>0.16355666875391361</v>
      </c>
    </row>
    <row r="393" spans="1:18" hidden="1" x14ac:dyDescent="0.3">
      <c r="A393" t="s">
        <v>406</v>
      </c>
      <c r="B393" s="2">
        <v>45507</v>
      </c>
      <c r="C393" s="2">
        <v>45363</v>
      </c>
      <c r="D393" t="s">
        <v>1359</v>
      </c>
      <c r="E393" t="s">
        <v>1374</v>
      </c>
      <c r="F393" t="s">
        <v>1704</v>
      </c>
      <c r="G393" t="s">
        <v>1387</v>
      </c>
      <c r="H393" t="s">
        <v>1388</v>
      </c>
      <c r="I393" t="s">
        <v>1392</v>
      </c>
      <c r="J393" t="s">
        <v>1401</v>
      </c>
      <c r="K393" t="s">
        <v>1666</v>
      </c>
      <c r="L393">
        <v>238</v>
      </c>
      <c r="M393">
        <v>10</v>
      </c>
      <c r="N393">
        <v>0</v>
      </c>
      <c r="O393">
        <v>-15.84</v>
      </c>
      <c r="P393">
        <v>23.8</v>
      </c>
      <c r="Q393">
        <f>Table1_2[[#This Row],[Ship Date]]-Table1_2[[#This Row],[order date]]</f>
        <v>-144</v>
      </c>
      <c r="R393">
        <f>Table1_2[[#This Row],[Profit]]/Table1_2[[#This Row],[Sales]]</f>
        <v>-6.655462184873949E-2</v>
      </c>
    </row>
    <row r="394" spans="1:18" x14ac:dyDescent="0.3">
      <c r="A394" t="s">
        <v>407</v>
      </c>
      <c r="B394" s="2">
        <v>44643</v>
      </c>
      <c r="C394" s="2">
        <v>44651</v>
      </c>
      <c r="D394" t="s">
        <v>1373</v>
      </c>
      <c r="E394" t="s">
        <v>1375</v>
      </c>
      <c r="F394" t="s">
        <v>1704</v>
      </c>
      <c r="G394" t="s">
        <v>1387</v>
      </c>
      <c r="H394" t="s">
        <v>1390</v>
      </c>
      <c r="I394" t="s">
        <v>1392</v>
      </c>
      <c r="J394" t="s">
        <v>1395</v>
      </c>
      <c r="K394" t="s">
        <v>1501</v>
      </c>
      <c r="L394">
        <v>1018.44</v>
      </c>
      <c r="M394">
        <v>8</v>
      </c>
      <c r="N394">
        <v>0.15</v>
      </c>
      <c r="O394">
        <v>-110</v>
      </c>
      <c r="P394">
        <v>127.30500000000001</v>
      </c>
      <c r="Q394">
        <f>Table1_2[[#This Row],[Ship Date]]-Table1_2[[#This Row],[order date]]</f>
        <v>8</v>
      </c>
      <c r="R394" s="3">
        <f>Table1_2[[#This Row],[Profit]]/Table1_2[[#This Row],[Sales]]</f>
        <v>-0.10800832646007619</v>
      </c>
    </row>
    <row r="395" spans="1:18" x14ac:dyDescent="0.3">
      <c r="A395" t="s">
        <v>408</v>
      </c>
      <c r="B395" s="2">
        <v>44980</v>
      </c>
      <c r="C395" s="2">
        <v>44981</v>
      </c>
      <c r="D395" t="s">
        <v>1360</v>
      </c>
      <c r="E395" t="s">
        <v>1374</v>
      </c>
      <c r="F395" t="s">
        <v>1379</v>
      </c>
      <c r="G395" t="s">
        <v>1386</v>
      </c>
      <c r="H395" t="s">
        <v>1389</v>
      </c>
      <c r="I395" t="s">
        <v>1394</v>
      </c>
      <c r="J395" t="s">
        <v>1403</v>
      </c>
      <c r="K395" t="s">
        <v>1636</v>
      </c>
      <c r="L395">
        <v>282.61</v>
      </c>
      <c r="M395">
        <v>4</v>
      </c>
      <c r="N395">
        <v>0.1</v>
      </c>
      <c r="O395">
        <v>-47.18</v>
      </c>
      <c r="P395">
        <v>70.652500000000003</v>
      </c>
      <c r="Q395">
        <f>Table1_2[[#This Row],[Ship Date]]-Table1_2[[#This Row],[order date]]</f>
        <v>1</v>
      </c>
      <c r="R395" s="3">
        <f>Table1_2[[#This Row],[Profit]]/Table1_2[[#This Row],[Sales]]</f>
        <v>-0.1669438448745621</v>
      </c>
    </row>
    <row r="396" spans="1:18" hidden="1" x14ac:dyDescent="0.3">
      <c r="A396" t="s">
        <v>409</v>
      </c>
      <c r="B396" s="2"/>
      <c r="C396" s="2">
        <v>45006</v>
      </c>
      <c r="D396" t="s">
        <v>1364</v>
      </c>
      <c r="E396" t="s">
        <v>1374</v>
      </c>
      <c r="F396" t="s">
        <v>1379</v>
      </c>
      <c r="G396" t="s">
        <v>1383</v>
      </c>
      <c r="H396" t="s">
        <v>1388</v>
      </c>
      <c r="I396" t="s">
        <v>1392</v>
      </c>
      <c r="J396" t="s">
        <v>1395</v>
      </c>
      <c r="K396" t="s">
        <v>1616</v>
      </c>
      <c r="L396">
        <v>887.69</v>
      </c>
      <c r="M396">
        <v>7</v>
      </c>
      <c r="N396">
        <v>0.15</v>
      </c>
      <c r="O396">
        <v>-2.6</v>
      </c>
      <c r="P396">
        <v>126.8129</v>
      </c>
      <c r="Q396">
        <f>Table1_2[[#This Row],[Ship Date]]-Table1_2[[#This Row],[order date]]</f>
        <v>45006</v>
      </c>
      <c r="R396">
        <f>Table1_2[[#This Row],[Profit]]/Table1_2[[#This Row],[Sales]]</f>
        <v>-2.9289504218815124E-3</v>
      </c>
    </row>
    <row r="397" spans="1:18" hidden="1" x14ac:dyDescent="0.3">
      <c r="A397" t="s">
        <v>410</v>
      </c>
      <c r="B397" s="2"/>
      <c r="C397" s="2">
        <v>45030</v>
      </c>
      <c r="D397" t="s">
        <v>1369</v>
      </c>
      <c r="E397" t="s">
        <v>1376</v>
      </c>
      <c r="F397" t="s">
        <v>1704</v>
      </c>
      <c r="G397" t="s">
        <v>1385</v>
      </c>
      <c r="H397" t="s">
        <v>1391</v>
      </c>
      <c r="I397" t="s">
        <v>1392</v>
      </c>
      <c r="J397" t="s">
        <v>1395</v>
      </c>
      <c r="K397" t="s">
        <v>1478</v>
      </c>
      <c r="L397">
        <v>654.69000000000005</v>
      </c>
      <c r="M397">
        <v>1</v>
      </c>
      <c r="N397">
        <v>0</v>
      </c>
      <c r="O397">
        <v>-4.13</v>
      </c>
      <c r="P397">
        <v>654.69000000000005</v>
      </c>
      <c r="Q397">
        <f>Table1_2[[#This Row],[Ship Date]]-Table1_2[[#This Row],[order date]]</f>
        <v>45030</v>
      </c>
      <c r="R397">
        <f>Table1_2[[#This Row],[Profit]]/Table1_2[[#This Row],[Sales]]</f>
        <v>-6.3083291328720455E-3</v>
      </c>
    </row>
    <row r="398" spans="1:18" x14ac:dyDescent="0.3">
      <c r="A398" t="s">
        <v>411</v>
      </c>
      <c r="B398" s="2">
        <v>45409</v>
      </c>
      <c r="C398" s="2">
        <v>45414</v>
      </c>
      <c r="D398" t="s">
        <v>1365</v>
      </c>
      <c r="E398" t="s">
        <v>1376</v>
      </c>
      <c r="F398" t="s">
        <v>1379</v>
      </c>
      <c r="G398" t="s">
        <v>1382</v>
      </c>
      <c r="H398" t="s">
        <v>1388</v>
      </c>
      <c r="I398" t="s">
        <v>1394</v>
      </c>
      <c r="J398" t="s">
        <v>1402</v>
      </c>
      <c r="K398" t="s">
        <v>1428</v>
      </c>
      <c r="L398">
        <v>518.51</v>
      </c>
      <c r="M398">
        <v>10</v>
      </c>
      <c r="N398">
        <v>0</v>
      </c>
      <c r="O398">
        <v>75.17</v>
      </c>
      <c r="P398">
        <v>51.850999999999999</v>
      </c>
      <c r="Q398">
        <f>Table1_2[[#This Row],[Ship Date]]-Table1_2[[#This Row],[order date]]</f>
        <v>5</v>
      </c>
      <c r="R398" s="3">
        <f>Table1_2[[#This Row],[Profit]]/Table1_2[[#This Row],[Sales]]</f>
        <v>0.14497309598657693</v>
      </c>
    </row>
    <row r="399" spans="1:18" x14ac:dyDescent="0.3">
      <c r="A399" t="s">
        <v>412</v>
      </c>
      <c r="B399" s="2">
        <v>45359</v>
      </c>
      <c r="C399" s="2">
        <v>45369</v>
      </c>
      <c r="D399" t="s">
        <v>1365</v>
      </c>
      <c r="E399" t="s">
        <v>1374</v>
      </c>
      <c r="F399" t="s">
        <v>1704</v>
      </c>
      <c r="G399" t="s">
        <v>1385</v>
      </c>
      <c r="H399" t="s">
        <v>1388</v>
      </c>
      <c r="I399" t="s">
        <v>1393</v>
      </c>
      <c r="J399" t="s">
        <v>1396</v>
      </c>
      <c r="K399" t="s">
        <v>1537</v>
      </c>
      <c r="L399">
        <v>179.66</v>
      </c>
      <c r="M399">
        <v>7</v>
      </c>
      <c r="N399">
        <v>0.15</v>
      </c>
      <c r="O399">
        <v>4.57</v>
      </c>
      <c r="P399">
        <v>25.665700000000001</v>
      </c>
      <c r="Q399">
        <f>Table1_2[[#This Row],[Ship Date]]-Table1_2[[#This Row],[order date]]</f>
        <v>10</v>
      </c>
      <c r="R399" s="3">
        <f>Table1_2[[#This Row],[Profit]]/Table1_2[[#This Row],[Sales]]</f>
        <v>2.543693643548926E-2</v>
      </c>
    </row>
    <row r="400" spans="1:18" x14ac:dyDescent="0.3">
      <c r="A400" t="s">
        <v>413</v>
      </c>
      <c r="B400" s="2">
        <v>44893</v>
      </c>
      <c r="C400" s="2">
        <v>44896</v>
      </c>
      <c r="D400" t="s">
        <v>1364</v>
      </c>
      <c r="E400" t="s">
        <v>1376</v>
      </c>
      <c r="F400" t="s">
        <v>1704</v>
      </c>
      <c r="G400" t="s">
        <v>1385</v>
      </c>
      <c r="H400" t="s">
        <v>1389</v>
      </c>
      <c r="I400" t="s">
        <v>1393</v>
      </c>
      <c r="J400" t="s">
        <v>1396</v>
      </c>
      <c r="K400" t="s">
        <v>1667</v>
      </c>
      <c r="L400">
        <v>165.78</v>
      </c>
      <c r="M400">
        <v>2</v>
      </c>
      <c r="N400">
        <v>0.2</v>
      </c>
      <c r="O400">
        <v>19.399999999999999</v>
      </c>
      <c r="P400">
        <v>82.89</v>
      </c>
      <c r="Q400">
        <f>Table1_2[[#This Row],[Ship Date]]-Table1_2[[#This Row],[order date]]</f>
        <v>3</v>
      </c>
      <c r="R400" s="3">
        <f>Table1_2[[#This Row],[Profit]]/Table1_2[[#This Row],[Sales]]</f>
        <v>0.11702256001930268</v>
      </c>
    </row>
    <row r="401" spans="1:18" x14ac:dyDescent="0.3">
      <c r="A401" t="s">
        <v>414</v>
      </c>
      <c r="B401" s="2">
        <v>45348</v>
      </c>
      <c r="C401" s="2">
        <v>45351</v>
      </c>
      <c r="D401" t="s">
        <v>1366</v>
      </c>
      <c r="E401" t="s">
        <v>1376</v>
      </c>
      <c r="F401" t="s">
        <v>1379</v>
      </c>
      <c r="G401" t="s">
        <v>1382</v>
      </c>
      <c r="H401" t="s">
        <v>1389</v>
      </c>
      <c r="I401" t="s">
        <v>1394</v>
      </c>
      <c r="J401" t="s">
        <v>1398</v>
      </c>
      <c r="K401" t="s">
        <v>1492</v>
      </c>
      <c r="L401">
        <v>1048.1400000000001</v>
      </c>
      <c r="M401">
        <v>3</v>
      </c>
      <c r="N401">
        <v>0.1</v>
      </c>
      <c r="O401">
        <v>245.69</v>
      </c>
      <c r="P401">
        <v>349.38</v>
      </c>
      <c r="Q401">
        <f>Table1_2[[#This Row],[Ship Date]]-Table1_2[[#This Row],[order date]]</f>
        <v>3</v>
      </c>
      <c r="R401" s="3">
        <f>Table1_2[[#This Row],[Profit]]/Table1_2[[#This Row],[Sales]]</f>
        <v>0.23440570916098991</v>
      </c>
    </row>
    <row r="402" spans="1:18" x14ac:dyDescent="0.3">
      <c r="A402" t="s">
        <v>415</v>
      </c>
      <c r="B402" s="2">
        <v>45203</v>
      </c>
      <c r="C402" s="2">
        <v>45206</v>
      </c>
      <c r="D402" t="s">
        <v>1373</v>
      </c>
      <c r="E402" t="s">
        <v>1376</v>
      </c>
      <c r="F402" t="s">
        <v>1379</v>
      </c>
      <c r="G402" t="s">
        <v>1383</v>
      </c>
      <c r="H402" t="s">
        <v>1389</v>
      </c>
      <c r="I402" t="s">
        <v>1392</v>
      </c>
      <c r="J402" t="s">
        <v>1401</v>
      </c>
      <c r="K402" t="s">
        <v>1417</v>
      </c>
      <c r="L402">
        <v>1153.31</v>
      </c>
      <c r="M402">
        <v>1</v>
      </c>
      <c r="N402">
        <v>0</v>
      </c>
      <c r="O402">
        <v>210.71</v>
      </c>
      <c r="P402">
        <v>1153.31</v>
      </c>
      <c r="Q402">
        <f>Table1_2[[#This Row],[Ship Date]]-Table1_2[[#This Row],[order date]]</f>
        <v>3</v>
      </c>
      <c r="R402" s="3">
        <f>Table1_2[[#This Row],[Profit]]/Table1_2[[#This Row],[Sales]]</f>
        <v>0.18270022803929561</v>
      </c>
    </row>
    <row r="403" spans="1:18" x14ac:dyDescent="0.3">
      <c r="A403" t="s">
        <v>416</v>
      </c>
      <c r="B403" s="2">
        <v>44784</v>
      </c>
      <c r="C403" s="2">
        <v>44794</v>
      </c>
      <c r="D403" t="s">
        <v>1370</v>
      </c>
      <c r="E403" t="s">
        <v>1376</v>
      </c>
      <c r="F403" t="s">
        <v>1704</v>
      </c>
      <c r="G403" t="s">
        <v>1381</v>
      </c>
      <c r="H403" t="s">
        <v>1390</v>
      </c>
      <c r="I403" t="s">
        <v>1393</v>
      </c>
      <c r="J403" t="s">
        <v>1399</v>
      </c>
      <c r="K403" t="s">
        <v>1668</v>
      </c>
      <c r="L403">
        <v>555.41</v>
      </c>
      <c r="M403">
        <v>8</v>
      </c>
      <c r="N403">
        <v>0</v>
      </c>
      <c r="O403">
        <v>55.88</v>
      </c>
      <c r="P403">
        <v>69.426199999999994</v>
      </c>
      <c r="Q403">
        <f>Table1_2[[#This Row],[Ship Date]]-Table1_2[[#This Row],[order date]]</f>
        <v>10</v>
      </c>
      <c r="R403" s="3">
        <f>Table1_2[[#This Row],[Profit]]/Table1_2[[#This Row],[Sales]]</f>
        <v>0.10061035991429755</v>
      </c>
    </row>
    <row r="404" spans="1:18" x14ac:dyDescent="0.3">
      <c r="A404" t="s">
        <v>417</v>
      </c>
      <c r="B404" s="2">
        <v>44618</v>
      </c>
      <c r="C404" s="2">
        <v>44624</v>
      </c>
      <c r="D404" t="s">
        <v>1369</v>
      </c>
      <c r="E404" t="s">
        <v>1376</v>
      </c>
      <c r="F404" t="s">
        <v>1704</v>
      </c>
      <c r="G404" t="s">
        <v>1387</v>
      </c>
      <c r="H404" t="s">
        <v>1391</v>
      </c>
      <c r="I404" t="s">
        <v>1392</v>
      </c>
      <c r="J404" t="s">
        <v>1401</v>
      </c>
      <c r="K404" t="s">
        <v>1612</v>
      </c>
      <c r="L404">
        <v>1027.52</v>
      </c>
      <c r="M404">
        <v>10</v>
      </c>
      <c r="N404">
        <v>0</v>
      </c>
      <c r="O404">
        <v>-52.18</v>
      </c>
      <c r="P404">
        <v>102.752</v>
      </c>
      <c r="Q404">
        <f>Table1_2[[#This Row],[Ship Date]]-Table1_2[[#This Row],[order date]]</f>
        <v>6</v>
      </c>
      <c r="R404" s="3">
        <f>Table1_2[[#This Row],[Profit]]/Table1_2[[#This Row],[Sales]]</f>
        <v>-5.078246652133292E-2</v>
      </c>
    </row>
    <row r="405" spans="1:18" x14ac:dyDescent="0.3">
      <c r="A405" t="s">
        <v>418</v>
      </c>
      <c r="B405" s="2">
        <v>45238</v>
      </c>
      <c r="C405" s="2">
        <v>45248</v>
      </c>
      <c r="D405" t="s">
        <v>1366</v>
      </c>
      <c r="E405" t="s">
        <v>1376</v>
      </c>
      <c r="F405" t="s">
        <v>1379</v>
      </c>
      <c r="G405" t="s">
        <v>1385</v>
      </c>
      <c r="H405" t="s">
        <v>1388</v>
      </c>
      <c r="I405" t="s">
        <v>1393</v>
      </c>
      <c r="J405" t="s">
        <v>1396</v>
      </c>
      <c r="K405" t="s">
        <v>1669</v>
      </c>
      <c r="L405">
        <v>229.35</v>
      </c>
      <c r="M405">
        <v>8</v>
      </c>
      <c r="N405">
        <v>0</v>
      </c>
      <c r="O405">
        <v>-4.57</v>
      </c>
      <c r="P405">
        <v>28.668700000000001</v>
      </c>
      <c r="Q405">
        <f>Table1_2[[#This Row],[Ship Date]]-Table1_2[[#This Row],[order date]]</f>
        <v>10</v>
      </c>
      <c r="R405" s="3">
        <f>Table1_2[[#This Row],[Profit]]/Table1_2[[#This Row],[Sales]]</f>
        <v>-1.9925877479834316E-2</v>
      </c>
    </row>
    <row r="406" spans="1:18" x14ac:dyDescent="0.3">
      <c r="A406" t="s">
        <v>419</v>
      </c>
      <c r="B406" s="2">
        <v>44999</v>
      </c>
      <c r="C406" s="2">
        <v>45008</v>
      </c>
      <c r="D406" t="s">
        <v>1359</v>
      </c>
      <c r="E406" t="s">
        <v>1374</v>
      </c>
      <c r="F406" t="s">
        <v>1704</v>
      </c>
      <c r="G406" t="s">
        <v>1383</v>
      </c>
      <c r="H406" t="s">
        <v>1388</v>
      </c>
      <c r="I406" t="s">
        <v>1392</v>
      </c>
      <c r="J406" t="s">
        <v>1397</v>
      </c>
      <c r="K406" t="s">
        <v>1609</v>
      </c>
      <c r="L406">
        <v>575.55999999999995</v>
      </c>
      <c r="M406">
        <v>2</v>
      </c>
      <c r="N406">
        <v>0.15</v>
      </c>
      <c r="O406">
        <v>-20.37</v>
      </c>
      <c r="P406">
        <v>287.77999999999997</v>
      </c>
      <c r="Q406">
        <f>Table1_2[[#This Row],[Ship Date]]-Table1_2[[#This Row],[order date]]</f>
        <v>9</v>
      </c>
      <c r="R406" s="3">
        <f>Table1_2[[#This Row],[Profit]]/Table1_2[[#This Row],[Sales]]</f>
        <v>-3.5391618597539795E-2</v>
      </c>
    </row>
    <row r="407" spans="1:18" x14ac:dyDescent="0.3">
      <c r="A407" t="s">
        <v>420</v>
      </c>
      <c r="B407" s="2">
        <v>45147</v>
      </c>
      <c r="C407" s="2">
        <v>45156</v>
      </c>
      <c r="D407" t="s">
        <v>1362</v>
      </c>
      <c r="E407" t="s">
        <v>1374</v>
      </c>
      <c r="F407" t="s">
        <v>1379</v>
      </c>
      <c r="G407" t="s">
        <v>1387</v>
      </c>
      <c r="H407" t="s">
        <v>1389</v>
      </c>
      <c r="I407" t="s">
        <v>1392</v>
      </c>
      <c r="J407" t="s">
        <v>1397</v>
      </c>
      <c r="K407" t="s">
        <v>1488</v>
      </c>
      <c r="L407">
        <v>874.41</v>
      </c>
      <c r="M407">
        <v>10</v>
      </c>
      <c r="N407">
        <v>0.15</v>
      </c>
      <c r="O407">
        <v>11.83</v>
      </c>
      <c r="P407">
        <v>87.441000000000003</v>
      </c>
      <c r="Q407">
        <f>Table1_2[[#This Row],[Ship Date]]-Table1_2[[#This Row],[order date]]</f>
        <v>9</v>
      </c>
      <c r="R407" s="3">
        <f>Table1_2[[#This Row],[Profit]]/Table1_2[[#This Row],[Sales]]</f>
        <v>1.3529122494024543E-2</v>
      </c>
    </row>
    <row r="408" spans="1:18" x14ac:dyDescent="0.3">
      <c r="A408" t="s">
        <v>421</v>
      </c>
      <c r="B408" s="2">
        <v>45308</v>
      </c>
      <c r="C408" s="2">
        <v>45316</v>
      </c>
      <c r="D408" t="s">
        <v>1369</v>
      </c>
      <c r="E408" t="s">
        <v>1376</v>
      </c>
      <c r="F408" t="s">
        <v>1379</v>
      </c>
      <c r="G408" t="s">
        <v>1382</v>
      </c>
      <c r="H408" t="s">
        <v>1390</v>
      </c>
      <c r="I408" t="s">
        <v>1394</v>
      </c>
      <c r="J408" t="s">
        <v>1402</v>
      </c>
      <c r="K408" t="s">
        <v>1432</v>
      </c>
      <c r="L408">
        <v>1062.72</v>
      </c>
      <c r="M408">
        <v>4</v>
      </c>
      <c r="N408">
        <v>0.15</v>
      </c>
      <c r="O408">
        <v>307.79000000000002</v>
      </c>
      <c r="P408">
        <v>265.68</v>
      </c>
      <c r="Q408">
        <f>Table1_2[[#This Row],[Ship Date]]-Table1_2[[#This Row],[order date]]</f>
        <v>8</v>
      </c>
      <c r="R408" s="3">
        <f>Table1_2[[#This Row],[Profit]]/Table1_2[[#This Row],[Sales]]</f>
        <v>0.28962473652514303</v>
      </c>
    </row>
    <row r="409" spans="1:18" x14ac:dyDescent="0.3">
      <c r="A409" t="s">
        <v>422</v>
      </c>
      <c r="B409" s="2">
        <v>44929</v>
      </c>
      <c r="C409" s="2">
        <v>44993</v>
      </c>
      <c r="D409" t="s">
        <v>1372</v>
      </c>
      <c r="E409" t="s">
        <v>1375</v>
      </c>
      <c r="F409" t="s">
        <v>1379</v>
      </c>
      <c r="G409" t="s">
        <v>1384</v>
      </c>
      <c r="H409" t="s">
        <v>1391</v>
      </c>
      <c r="I409" t="s">
        <v>1392</v>
      </c>
      <c r="J409" t="s">
        <v>1397</v>
      </c>
      <c r="K409" t="s">
        <v>1504</v>
      </c>
      <c r="L409">
        <v>432.59</v>
      </c>
      <c r="M409">
        <v>4</v>
      </c>
      <c r="N409">
        <v>0</v>
      </c>
      <c r="O409">
        <v>52.04</v>
      </c>
      <c r="P409">
        <v>108.14749999999999</v>
      </c>
      <c r="Q409">
        <f>Table1_2[[#This Row],[Ship Date]]-Table1_2[[#This Row],[order date]]</f>
        <v>64</v>
      </c>
      <c r="R409" s="3">
        <f>Table1_2[[#This Row],[Profit]]/Table1_2[[#This Row],[Sales]]</f>
        <v>0.12029866617351304</v>
      </c>
    </row>
    <row r="410" spans="1:18" x14ac:dyDescent="0.3">
      <c r="A410" t="s">
        <v>423</v>
      </c>
      <c r="B410" s="2">
        <v>44568</v>
      </c>
      <c r="C410" s="2">
        <v>44570</v>
      </c>
      <c r="D410" t="s">
        <v>1368</v>
      </c>
      <c r="E410" t="s">
        <v>1376</v>
      </c>
      <c r="F410" t="s">
        <v>1704</v>
      </c>
      <c r="G410" t="s">
        <v>1385</v>
      </c>
      <c r="H410" t="s">
        <v>1388</v>
      </c>
      <c r="I410" t="s">
        <v>1393</v>
      </c>
      <c r="J410" t="s">
        <v>1399</v>
      </c>
      <c r="K410" t="s">
        <v>1448</v>
      </c>
      <c r="L410">
        <v>422.81</v>
      </c>
      <c r="M410">
        <v>10</v>
      </c>
      <c r="N410">
        <v>0</v>
      </c>
      <c r="O410">
        <v>118.41</v>
      </c>
      <c r="P410">
        <v>42.280999999999999</v>
      </c>
      <c r="Q410">
        <f>Table1_2[[#This Row],[Ship Date]]-Table1_2[[#This Row],[order date]]</f>
        <v>2</v>
      </c>
      <c r="R410" s="3">
        <f>Table1_2[[#This Row],[Profit]]/Table1_2[[#This Row],[Sales]]</f>
        <v>0.28005487098223786</v>
      </c>
    </row>
    <row r="411" spans="1:18" x14ac:dyDescent="0.3">
      <c r="A411" t="s">
        <v>424</v>
      </c>
      <c r="B411" s="2">
        <v>44701</v>
      </c>
      <c r="C411" s="2">
        <v>44709</v>
      </c>
      <c r="D411" t="s">
        <v>1361</v>
      </c>
      <c r="E411" t="s">
        <v>1376</v>
      </c>
      <c r="F411" t="s">
        <v>1379</v>
      </c>
      <c r="G411" t="s">
        <v>1383</v>
      </c>
      <c r="H411" t="s">
        <v>1388</v>
      </c>
      <c r="I411" t="s">
        <v>1392</v>
      </c>
      <c r="J411" t="s">
        <v>1395</v>
      </c>
      <c r="K411" t="s">
        <v>1670</v>
      </c>
      <c r="L411">
        <v>563.53</v>
      </c>
      <c r="M411">
        <v>9</v>
      </c>
      <c r="N411">
        <v>0.15</v>
      </c>
      <c r="O411">
        <v>17.600000000000001</v>
      </c>
      <c r="P411">
        <v>62.614400000000003</v>
      </c>
      <c r="Q411">
        <f>Table1_2[[#This Row],[Ship Date]]-Table1_2[[#This Row],[order date]]</f>
        <v>8</v>
      </c>
      <c r="R411" s="3">
        <f>Table1_2[[#This Row],[Profit]]/Table1_2[[#This Row],[Sales]]</f>
        <v>3.1231700175678317E-2</v>
      </c>
    </row>
    <row r="412" spans="1:18" x14ac:dyDescent="0.3">
      <c r="A412" t="s">
        <v>425</v>
      </c>
      <c r="B412" s="2">
        <v>45153</v>
      </c>
      <c r="C412" s="2">
        <v>45159</v>
      </c>
      <c r="D412" t="s">
        <v>1359</v>
      </c>
      <c r="E412" t="s">
        <v>1374</v>
      </c>
      <c r="F412" t="s">
        <v>1704</v>
      </c>
      <c r="G412" t="s">
        <v>1387</v>
      </c>
      <c r="H412" t="s">
        <v>1388</v>
      </c>
      <c r="I412" t="s">
        <v>1394</v>
      </c>
      <c r="J412" t="s">
        <v>1402</v>
      </c>
      <c r="K412" t="s">
        <v>1540</v>
      </c>
      <c r="L412">
        <v>1164.1400000000001</v>
      </c>
      <c r="M412">
        <v>5</v>
      </c>
      <c r="N412">
        <v>0</v>
      </c>
      <c r="O412">
        <v>-35.42</v>
      </c>
      <c r="P412">
        <v>232.828</v>
      </c>
      <c r="Q412">
        <f>Table1_2[[#This Row],[Ship Date]]-Table1_2[[#This Row],[order date]]</f>
        <v>6</v>
      </c>
      <c r="R412" s="3">
        <f>Table1_2[[#This Row],[Profit]]/Table1_2[[#This Row],[Sales]]</f>
        <v>-3.0425893792842783E-2</v>
      </c>
    </row>
    <row r="413" spans="1:18" x14ac:dyDescent="0.3">
      <c r="A413" t="s">
        <v>426</v>
      </c>
      <c r="B413" s="2">
        <v>44877</v>
      </c>
      <c r="C413" s="2">
        <v>44883</v>
      </c>
      <c r="D413" t="s">
        <v>1373</v>
      </c>
      <c r="E413" t="s">
        <v>1375</v>
      </c>
      <c r="F413" t="s">
        <v>1379</v>
      </c>
      <c r="G413" t="s">
        <v>1387</v>
      </c>
      <c r="H413" t="s">
        <v>1388</v>
      </c>
      <c r="I413" t="s">
        <v>1393</v>
      </c>
      <c r="J413" t="s">
        <v>1400</v>
      </c>
      <c r="K413" t="s">
        <v>1445</v>
      </c>
      <c r="L413">
        <v>340.37</v>
      </c>
      <c r="M413">
        <v>2</v>
      </c>
      <c r="N413">
        <v>0.2</v>
      </c>
      <c r="O413">
        <v>81.19</v>
      </c>
      <c r="P413">
        <v>170.185</v>
      </c>
      <c r="Q413">
        <f>Table1_2[[#This Row],[Ship Date]]-Table1_2[[#This Row],[order date]]</f>
        <v>6</v>
      </c>
      <c r="R413" s="3">
        <f>Table1_2[[#This Row],[Profit]]/Table1_2[[#This Row],[Sales]]</f>
        <v>0.23853453594617621</v>
      </c>
    </row>
    <row r="414" spans="1:18" x14ac:dyDescent="0.3">
      <c r="A414" t="s">
        <v>427</v>
      </c>
      <c r="B414" s="2">
        <v>45365</v>
      </c>
      <c r="C414" s="2">
        <v>45366</v>
      </c>
      <c r="D414" t="s">
        <v>1368</v>
      </c>
      <c r="E414" t="s">
        <v>1376</v>
      </c>
      <c r="F414" t="s">
        <v>1379</v>
      </c>
      <c r="G414" t="s">
        <v>1386</v>
      </c>
      <c r="H414" t="s">
        <v>1391</v>
      </c>
      <c r="I414" t="s">
        <v>1392</v>
      </c>
      <c r="J414" t="s">
        <v>1401</v>
      </c>
      <c r="K414" t="s">
        <v>1671</v>
      </c>
      <c r="L414">
        <v>543.65</v>
      </c>
      <c r="M414">
        <v>1</v>
      </c>
      <c r="N414">
        <v>0.2</v>
      </c>
      <c r="O414">
        <v>137.26</v>
      </c>
      <c r="P414">
        <v>543.65</v>
      </c>
      <c r="Q414">
        <f>Table1_2[[#This Row],[Ship Date]]-Table1_2[[#This Row],[order date]]</f>
        <v>1</v>
      </c>
      <c r="R414" s="3">
        <f>Table1_2[[#This Row],[Profit]]/Table1_2[[#This Row],[Sales]]</f>
        <v>0.25247861675710476</v>
      </c>
    </row>
    <row r="415" spans="1:18" hidden="1" x14ac:dyDescent="0.3">
      <c r="A415" t="s">
        <v>428</v>
      </c>
      <c r="B415" s="2"/>
      <c r="C415" s="2">
        <v>45351</v>
      </c>
      <c r="D415" t="s">
        <v>1359</v>
      </c>
      <c r="E415" t="s">
        <v>1375</v>
      </c>
      <c r="F415" t="s">
        <v>1379</v>
      </c>
      <c r="G415" t="s">
        <v>1381</v>
      </c>
      <c r="H415" t="s">
        <v>1388</v>
      </c>
      <c r="I415" t="s">
        <v>1393</v>
      </c>
      <c r="J415" t="s">
        <v>1396</v>
      </c>
      <c r="K415" t="s">
        <v>1405</v>
      </c>
      <c r="L415">
        <v>1191.4100000000001</v>
      </c>
      <c r="M415">
        <v>4</v>
      </c>
      <c r="N415">
        <v>0</v>
      </c>
      <c r="O415">
        <v>35.369999999999997</v>
      </c>
      <c r="P415">
        <v>297.85250000000002</v>
      </c>
      <c r="Q415">
        <f>Table1_2[[#This Row],[Ship Date]]-Table1_2[[#This Row],[order date]]</f>
        <v>45351</v>
      </c>
      <c r="R415">
        <f>Table1_2[[#This Row],[Profit]]/Table1_2[[#This Row],[Sales]]</f>
        <v>2.9687513114712814E-2</v>
      </c>
    </row>
    <row r="416" spans="1:18" x14ac:dyDescent="0.3">
      <c r="A416" t="s">
        <v>429</v>
      </c>
      <c r="B416" s="2">
        <v>45040</v>
      </c>
      <c r="C416" s="2">
        <v>45041</v>
      </c>
      <c r="D416" t="s">
        <v>1368</v>
      </c>
      <c r="E416" t="s">
        <v>1375</v>
      </c>
      <c r="F416" t="s">
        <v>1704</v>
      </c>
      <c r="G416" t="s">
        <v>1384</v>
      </c>
      <c r="H416" t="s">
        <v>1391</v>
      </c>
      <c r="I416" t="s">
        <v>1392</v>
      </c>
      <c r="J416" t="s">
        <v>1395</v>
      </c>
      <c r="K416" t="s">
        <v>1672</v>
      </c>
      <c r="L416">
        <v>924.09</v>
      </c>
      <c r="M416">
        <v>5</v>
      </c>
      <c r="N416">
        <v>0</v>
      </c>
      <c r="O416">
        <v>82.04</v>
      </c>
      <c r="P416">
        <v>184.81800000000001</v>
      </c>
      <c r="Q416">
        <f>Table1_2[[#This Row],[Ship Date]]-Table1_2[[#This Row],[order date]]</f>
        <v>1</v>
      </c>
      <c r="R416" s="3">
        <f>Table1_2[[#This Row],[Profit]]/Table1_2[[#This Row],[Sales]]</f>
        <v>8.8779231460139163E-2</v>
      </c>
    </row>
    <row r="417" spans="1:18" hidden="1" x14ac:dyDescent="0.3">
      <c r="A417" t="s">
        <v>430</v>
      </c>
      <c r="B417" s="2"/>
      <c r="C417" s="2">
        <v>44896</v>
      </c>
      <c r="D417" t="s">
        <v>1364</v>
      </c>
      <c r="E417" t="s">
        <v>1375</v>
      </c>
      <c r="F417" t="s">
        <v>1704</v>
      </c>
      <c r="G417" t="s">
        <v>1383</v>
      </c>
      <c r="H417" t="s">
        <v>1391</v>
      </c>
      <c r="I417" t="s">
        <v>1393</v>
      </c>
      <c r="J417" t="s">
        <v>1400</v>
      </c>
      <c r="K417" t="s">
        <v>1629</v>
      </c>
      <c r="L417">
        <v>341.73</v>
      </c>
      <c r="M417">
        <v>3</v>
      </c>
      <c r="N417">
        <v>0.15</v>
      </c>
      <c r="O417">
        <v>-48.79</v>
      </c>
      <c r="P417">
        <v>113.91</v>
      </c>
      <c r="Q417">
        <f>Table1_2[[#This Row],[Ship Date]]-Table1_2[[#This Row],[order date]]</f>
        <v>44896</v>
      </c>
      <c r="R417">
        <f>Table1_2[[#This Row],[Profit]]/Table1_2[[#This Row],[Sales]]</f>
        <v>-0.14277353466186754</v>
      </c>
    </row>
    <row r="418" spans="1:18" x14ac:dyDescent="0.3">
      <c r="A418" t="s">
        <v>431</v>
      </c>
      <c r="B418" s="2">
        <v>44888</v>
      </c>
      <c r="C418" s="2">
        <v>44893</v>
      </c>
      <c r="D418" t="s">
        <v>1360</v>
      </c>
      <c r="E418" t="s">
        <v>1374</v>
      </c>
      <c r="F418" t="s">
        <v>1704</v>
      </c>
      <c r="G418" t="s">
        <v>1381</v>
      </c>
      <c r="H418" t="s">
        <v>1390</v>
      </c>
      <c r="I418" t="s">
        <v>1392</v>
      </c>
      <c r="J418" t="s">
        <v>1395</v>
      </c>
      <c r="K418" t="s">
        <v>1640</v>
      </c>
      <c r="L418">
        <v>968.72</v>
      </c>
      <c r="M418">
        <v>10</v>
      </c>
      <c r="N418">
        <v>0.1</v>
      </c>
      <c r="O418">
        <v>-110.79</v>
      </c>
      <c r="P418">
        <v>96.872</v>
      </c>
      <c r="Q418">
        <f>Table1_2[[#This Row],[Ship Date]]-Table1_2[[#This Row],[order date]]</f>
        <v>5</v>
      </c>
      <c r="R418" s="3">
        <f>Table1_2[[#This Row],[Profit]]/Table1_2[[#This Row],[Sales]]</f>
        <v>-0.11436741266826328</v>
      </c>
    </row>
    <row r="419" spans="1:18" hidden="1" x14ac:dyDescent="0.3">
      <c r="A419" t="s">
        <v>432</v>
      </c>
      <c r="B419" s="2"/>
      <c r="C419" s="2">
        <v>45045</v>
      </c>
      <c r="D419" t="s">
        <v>1364</v>
      </c>
      <c r="E419" t="s">
        <v>1374</v>
      </c>
      <c r="F419" t="s">
        <v>1704</v>
      </c>
      <c r="G419" t="s">
        <v>1383</v>
      </c>
      <c r="H419" t="s">
        <v>1391</v>
      </c>
      <c r="I419" t="s">
        <v>1392</v>
      </c>
      <c r="J419" t="s">
        <v>1397</v>
      </c>
      <c r="K419" t="s">
        <v>1443</v>
      </c>
      <c r="L419">
        <v>83.48</v>
      </c>
      <c r="M419">
        <v>7</v>
      </c>
      <c r="N419">
        <v>0.2</v>
      </c>
      <c r="O419">
        <v>-9.23</v>
      </c>
      <c r="P419">
        <v>11.925700000000001</v>
      </c>
      <c r="Q419">
        <f>Table1_2[[#This Row],[Ship Date]]-Table1_2[[#This Row],[order date]]</f>
        <v>45045</v>
      </c>
      <c r="R419">
        <f>Table1_2[[#This Row],[Profit]]/Table1_2[[#This Row],[Sales]]</f>
        <v>-0.11056540488739817</v>
      </c>
    </row>
    <row r="420" spans="1:18" x14ac:dyDescent="0.3">
      <c r="A420" t="s">
        <v>433</v>
      </c>
      <c r="B420" s="2">
        <v>44902</v>
      </c>
      <c r="C420" s="2">
        <v>44906</v>
      </c>
      <c r="D420" t="s">
        <v>1367</v>
      </c>
      <c r="E420" t="s">
        <v>1376</v>
      </c>
      <c r="F420" t="s">
        <v>1379</v>
      </c>
      <c r="G420" t="s">
        <v>1382</v>
      </c>
      <c r="H420" t="s">
        <v>1389</v>
      </c>
      <c r="I420" t="s">
        <v>1393</v>
      </c>
      <c r="J420" t="s">
        <v>1396</v>
      </c>
      <c r="K420" t="s">
        <v>1550</v>
      </c>
      <c r="L420">
        <v>974.97</v>
      </c>
      <c r="M420">
        <v>2</v>
      </c>
      <c r="N420">
        <v>0.2</v>
      </c>
      <c r="O420">
        <v>81.790000000000006</v>
      </c>
      <c r="P420">
        <v>487.48500000000001</v>
      </c>
      <c r="Q420">
        <f>Table1_2[[#This Row],[Ship Date]]-Table1_2[[#This Row],[order date]]</f>
        <v>4</v>
      </c>
      <c r="R420" s="3">
        <f>Table1_2[[#This Row],[Profit]]/Table1_2[[#This Row],[Sales]]</f>
        <v>8.3889760710585973E-2</v>
      </c>
    </row>
    <row r="421" spans="1:18" hidden="1" x14ac:dyDescent="0.3">
      <c r="A421" t="s">
        <v>434</v>
      </c>
      <c r="B421" s="2"/>
      <c r="C421" s="2">
        <v>44803</v>
      </c>
      <c r="D421" t="s">
        <v>1372</v>
      </c>
      <c r="E421" t="s">
        <v>1376</v>
      </c>
      <c r="F421" t="s">
        <v>1704</v>
      </c>
      <c r="G421" t="s">
        <v>1381</v>
      </c>
      <c r="H421" t="s">
        <v>1388</v>
      </c>
      <c r="I421" t="s">
        <v>1392</v>
      </c>
      <c r="J421" t="s">
        <v>1395</v>
      </c>
      <c r="K421" t="s">
        <v>1626</v>
      </c>
      <c r="L421">
        <v>324.5</v>
      </c>
      <c r="M421">
        <v>6</v>
      </c>
      <c r="N421">
        <v>0.2</v>
      </c>
      <c r="O421">
        <v>-35.15</v>
      </c>
      <c r="P421">
        <v>54.083300000000001</v>
      </c>
      <c r="Q421">
        <f>Table1_2[[#This Row],[Ship Date]]-Table1_2[[#This Row],[order date]]</f>
        <v>44803</v>
      </c>
      <c r="R421">
        <f>Table1_2[[#This Row],[Profit]]/Table1_2[[#This Row],[Sales]]</f>
        <v>-0.10832049306625577</v>
      </c>
    </row>
    <row r="422" spans="1:18" x14ac:dyDescent="0.3">
      <c r="A422" t="s">
        <v>435</v>
      </c>
      <c r="B422" s="2">
        <v>44677</v>
      </c>
      <c r="C422" s="2">
        <v>44683</v>
      </c>
      <c r="D422" t="s">
        <v>1359</v>
      </c>
      <c r="E422" t="s">
        <v>1376</v>
      </c>
      <c r="F422" t="s">
        <v>1379</v>
      </c>
      <c r="G422" t="s">
        <v>1384</v>
      </c>
      <c r="H422" t="s">
        <v>1388</v>
      </c>
      <c r="I422" t="s">
        <v>1394</v>
      </c>
      <c r="J422" t="s">
        <v>1403</v>
      </c>
      <c r="K422" t="s">
        <v>1673</v>
      </c>
      <c r="L422">
        <v>1018</v>
      </c>
      <c r="M422">
        <v>5</v>
      </c>
      <c r="N422">
        <v>0.15</v>
      </c>
      <c r="O422">
        <v>104.06</v>
      </c>
      <c r="P422">
        <v>203.6</v>
      </c>
      <c r="Q422">
        <f>Table1_2[[#This Row],[Ship Date]]-Table1_2[[#This Row],[order date]]</f>
        <v>6</v>
      </c>
      <c r="R422" s="3">
        <f>Table1_2[[#This Row],[Profit]]/Table1_2[[#This Row],[Sales]]</f>
        <v>0.10222003929273085</v>
      </c>
    </row>
    <row r="423" spans="1:18" x14ac:dyDescent="0.3">
      <c r="A423" t="s">
        <v>436</v>
      </c>
      <c r="B423" s="2">
        <v>45107</v>
      </c>
      <c r="C423" s="2">
        <v>45115</v>
      </c>
      <c r="D423" t="s">
        <v>1367</v>
      </c>
      <c r="E423" t="s">
        <v>1376</v>
      </c>
      <c r="F423" t="s">
        <v>1704</v>
      </c>
      <c r="G423" t="s">
        <v>1386</v>
      </c>
      <c r="H423" t="s">
        <v>1389</v>
      </c>
      <c r="I423" t="s">
        <v>1394</v>
      </c>
      <c r="J423" t="s">
        <v>1398</v>
      </c>
      <c r="K423" t="s">
        <v>1674</v>
      </c>
      <c r="L423">
        <v>507.86</v>
      </c>
      <c r="M423">
        <v>10</v>
      </c>
      <c r="N423">
        <v>0.1</v>
      </c>
      <c r="O423">
        <v>37.57</v>
      </c>
      <c r="P423">
        <v>50.786000000000001</v>
      </c>
      <c r="Q423">
        <f>Table1_2[[#This Row],[Ship Date]]-Table1_2[[#This Row],[order date]]</f>
        <v>8</v>
      </c>
      <c r="R423" s="3">
        <f>Table1_2[[#This Row],[Profit]]/Table1_2[[#This Row],[Sales]]</f>
        <v>7.3977080297719849E-2</v>
      </c>
    </row>
    <row r="424" spans="1:18" x14ac:dyDescent="0.3">
      <c r="A424" t="s">
        <v>437</v>
      </c>
      <c r="B424" s="2">
        <v>45142</v>
      </c>
      <c r="C424" s="2">
        <v>45148</v>
      </c>
      <c r="D424" t="s">
        <v>1364</v>
      </c>
      <c r="E424" t="s">
        <v>1376</v>
      </c>
      <c r="F424" t="s">
        <v>1379</v>
      </c>
      <c r="G424" t="s">
        <v>1383</v>
      </c>
      <c r="H424" t="s">
        <v>1388</v>
      </c>
      <c r="I424" t="s">
        <v>1393</v>
      </c>
      <c r="J424" t="s">
        <v>1396</v>
      </c>
      <c r="K424" t="s">
        <v>1434</v>
      </c>
      <c r="L424">
        <v>298.66000000000003</v>
      </c>
      <c r="M424">
        <v>2</v>
      </c>
      <c r="N424">
        <v>0</v>
      </c>
      <c r="O424">
        <v>65.22</v>
      </c>
      <c r="P424">
        <v>149.33000000000001</v>
      </c>
      <c r="Q424">
        <f>Table1_2[[#This Row],[Ship Date]]-Table1_2[[#This Row],[order date]]</f>
        <v>6</v>
      </c>
      <c r="R424" s="3">
        <f>Table1_2[[#This Row],[Profit]]/Table1_2[[#This Row],[Sales]]</f>
        <v>0.21837541016540546</v>
      </c>
    </row>
    <row r="425" spans="1:18" hidden="1" x14ac:dyDescent="0.3">
      <c r="A425" t="s">
        <v>438</v>
      </c>
      <c r="B425" s="2"/>
      <c r="C425" s="2">
        <v>44747</v>
      </c>
      <c r="D425" t="s">
        <v>1369</v>
      </c>
      <c r="E425" t="s">
        <v>1375</v>
      </c>
      <c r="F425" t="s">
        <v>1704</v>
      </c>
      <c r="G425" t="s">
        <v>1383</v>
      </c>
      <c r="H425" t="s">
        <v>1388</v>
      </c>
      <c r="I425" t="s">
        <v>1394</v>
      </c>
      <c r="J425" t="s">
        <v>1402</v>
      </c>
      <c r="K425" t="s">
        <v>1540</v>
      </c>
      <c r="L425">
        <v>725.95</v>
      </c>
      <c r="M425">
        <v>10</v>
      </c>
      <c r="N425">
        <v>0.2</v>
      </c>
      <c r="O425">
        <v>-26.35</v>
      </c>
      <c r="P425">
        <v>72.594999999999999</v>
      </c>
      <c r="Q425">
        <f>Table1_2[[#This Row],[Ship Date]]-Table1_2[[#This Row],[order date]]</f>
        <v>44747</v>
      </c>
      <c r="R425">
        <f>Table1_2[[#This Row],[Profit]]/Table1_2[[#This Row],[Sales]]</f>
        <v>-3.6297265651904401E-2</v>
      </c>
    </row>
    <row r="426" spans="1:18" x14ac:dyDescent="0.3">
      <c r="A426" t="s">
        <v>439</v>
      </c>
      <c r="B426" s="2">
        <v>44712</v>
      </c>
      <c r="C426" s="2">
        <v>44715</v>
      </c>
      <c r="D426" t="s">
        <v>1372</v>
      </c>
      <c r="E426" t="s">
        <v>1374</v>
      </c>
      <c r="F426" t="s">
        <v>1379</v>
      </c>
      <c r="G426" t="s">
        <v>1385</v>
      </c>
      <c r="H426" t="s">
        <v>1391</v>
      </c>
      <c r="I426" t="s">
        <v>1394</v>
      </c>
      <c r="J426" t="s">
        <v>1398</v>
      </c>
      <c r="K426" t="s">
        <v>1675</v>
      </c>
      <c r="L426">
        <v>363.97</v>
      </c>
      <c r="M426">
        <v>10</v>
      </c>
      <c r="N426">
        <v>0</v>
      </c>
      <c r="O426">
        <v>8.58</v>
      </c>
      <c r="P426">
        <v>36.396999999999998</v>
      </c>
      <c r="Q426">
        <f>Table1_2[[#This Row],[Ship Date]]-Table1_2[[#This Row],[order date]]</f>
        <v>3</v>
      </c>
      <c r="R426" s="3">
        <f>Table1_2[[#This Row],[Profit]]/Table1_2[[#This Row],[Sales]]</f>
        <v>2.3573371431711402E-2</v>
      </c>
    </row>
    <row r="427" spans="1:18" hidden="1" x14ac:dyDescent="0.3">
      <c r="A427" t="s">
        <v>440</v>
      </c>
      <c r="B427" s="2"/>
      <c r="C427" s="2">
        <v>45159</v>
      </c>
      <c r="D427" t="s">
        <v>1369</v>
      </c>
      <c r="E427" t="s">
        <v>1374</v>
      </c>
      <c r="F427" t="s">
        <v>1379</v>
      </c>
      <c r="G427" t="s">
        <v>1381</v>
      </c>
      <c r="H427" t="s">
        <v>1391</v>
      </c>
      <c r="I427" t="s">
        <v>1393</v>
      </c>
      <c r="J427" t="s">
        <v>1396</v>
      </c>
      <c r="K427" t="s">
        <v>1587</v>
      </c>
      <c r="L427">
        <v>496.95</v>
      </c>
      <c r="M427">
        <v>3</v>
      </c>
      <c r="N427">
        <v>0.15</v>
      </c>
      <c r="O427">
        <v>-83.88</v>
      </c>
      <c r="P427">
        <v>165.65</v>
      </c>
      <c r="Q427">
        <f>Table1_2[[#This Row],[Ship Date]]-Table1_2[[#This Row],[order date]]</f>
        <v>45159</v>
      </c>
      <c r="R427">
        <f>Table1_2[[#This Row],[Profit]]/Table1_2[[#This Row],[Sales]]</f>
        <v>-0.16878961666163597</v>
      </c>
    </row>
    <row r="428" spans="1:18" x14ac:dyDescent="0.3">
      <c r="A428" t="s">
        <v>441</v>
      </c>
      <c r="B428" s="2">
        <v>44802</v>
      </c>
      <c r="C428" s="2">
        <v>44809</v>
      </c>
      <c r="D428" t="s">
        <v>1359</v>
      </c>
      <c r="E428" t="s">
        <v>1374</v>
      </c>
      <c r="F428" t="s">
        <v>1704</v>
      </c>
      <c r="G428" t="s">
        <v>1385</v>
      </c>
      <c r="H428" t="s">
        <v>1390</v>
      </c>
      <c r="I428" t="s">
        <v>1393</v>
      </c>
      <c r="J428" t="s">
        <v>1396</v>
      </c>
      <c r="K428" t="s">
        <v>1676</v>
      </c>
      <c r="L428">
        <v>485.24</v>
      </c>
      <c r="M428">
        <v>6</v>
      </c>
      <c r="N428">
        <v>0.2</v>
      </c>
      <c r="O428">
        <v>1.46</v>
      </c>
      <c r="P428">
        <v>80.8733</v>
      </c>
      <c r="Q428">
        <f>Table1_2[[#This Row],[Ship Date]]-Table1_2[[#This Row],[order date]]</f>
        <v>7</v>
      </c>
      <c r="R428" s="3">
        <f>Table1_2[[#This Row],[Profit]]/Table1_2[[#This Row],[Sales]]</f>
        <v>3.008820377545132E-3</v>
      </c>
    </row>
    <row r="429" spans="1:18" hidden="1" x14ac:dyDescent="0.3">
      <c r="A429" t="s">
        <v>442</v>
      </c>
      <c r="B429" s="2"/>
      <c r="C429" s="2">
        <v>45137</v>
      </c>
      <c r="D429" t="s">
        <v>1369</v>
      </c>
      <c r="E429" t="s">
        <v>1374</v>
      </c>
      <c r="F429" t="s">
        <v>1704</v>
      </c>
      <c r="G429" t="s">
        <v>1382</v>
      </c>
      <c r="H429" t="s">
        <v>1389</v>
      </c>
      <c r="I429" t="s">
        <v>1394</v>
      </c>
      <c r="J429" t="s">
        <v>1403</v>
      </c>
      <c r="K429" t="s">
        <v>1677</v>
      </c>
      <c r="L429">
        <v>202.04</v>
      </c>
      <c r="M429">
        <v>3</v>
      </c>
      <c r="N429">
        <v>0.1</v>
      </c>
      <c r="O429">
        <v>-39.24</v>
      </c>
      <c r="P429">
        <v>67.346699999999998</v>
      </c>
      <c r="Q429">
        <f>Table1_2[[#This Row],[Ship Date]]-Table1_2[[#This Row],[order date]]</f>
        <v>45137</v>
      </c>
      <c r="R429">
        <f>Table1_2[[#This Row],[Profit]]/Table1_2[[#This Row],[Sales]]</f>
        <v>-0.19421896654127896</v>
      </c>
    </row>
    <row r="430" spans="1:18" x14ac:dyDescent="0.3">
      <c r="A430" t="s">
        <v>443</v>
      </c>
      <c r="B430" s="2">
        <v>44648</v>
      </c>
      <c r="C430" s="2">
        <v>44651</v>
      </c>
      <c r="D430" t="s">
        <v>1360</v>
      </c>
      <c r="E430" t="s">
        <v>1374</v>
      </c>
      <c r="F430" t="s">
        <v>1704</v>
      </c>
      <c r="G430" t="s">
        <v>1385</v>
      </c>
      <c r="H430" t="s">
        <v>1391</v>
      </c>
      <c r="I430" t="s">
        <v>1393</v>
      </c>
      <c r="J430" t="s">
        <v>1399</v>
      </c>
      <c r="K430" t="s">
        <v>1435</v>
      </c>
      <c r="L430">
        <v>1034.98</v>
      </c>
      <c r="M430">
        <v>10</v>
      </c>
      <c r="N430">
        <v>0.2</v>
      </c>
      <c r="O430">
        <v>115.53</v>
      </c>
      <c r="P430">
        <v>103.498</v>
      </c>
      <c r="Q430">
        <f>Table1_2[[#This Row],[Ship Date]]-Table1_2[[#This Row],[order date]]</f>
        <v>3</v>
      </c>
      <c r="R430" s="3">
        <f>Table1_2[[#This Row],[Profit]]/Table1_2[[#This Row],[Sales]]</f>
        <v>0.11162534541730275</v>
      </c>
    </row>
    <row r="431" spans="1:18" hidden="1" x14ac:dyDescent="0.3">
      <c r="A431" t="s">
        <v>444</v>
      </c>
      <c r="B431" s="2">
        <v>44841</v>
      </c>
      <c r="C431" s="2">
        <v>44759</v>
      </c>
      <c r="D431" t="s">
        <v>1360</v>
      </c>
      <c r="E431" t="s">
        <v>1375</v>
      </c>
      <c r="F431" t="s">
        <v>1379</v>
      </c>
      <c r="G431" t="s">
        <v>1383</v>
      </c>
      <c r="H431" t="s">
        <v>1389</v>
      </c>
      <c r="I431" t="s">
        <v>1393</v>
      </c>
      <c r="J431" t="s">
        <v>1400</v>
      </c>
      <c r="K431" t="s">
        <v>1678</v>
      </c>
      <c r="L431">
        <v>701.97</v>
      </c>
      <c r="M431">
        <v>4</v>
      </c>
      <c r="N431">
        <v>0</v>
      </c>
      <c r="O431">
        <v>-45.89</v>
      </c>
      <c r="P431">
        <v>175.49250000000001</v>
      </c>
      <c r="Q431">
        <f>Table1_2[[#This Row],[Ship Date]]-Table1_2[[#This Row],[order date]]</f>
        <v>-82</v>
      </c>
      <c r="R431">
        <f>Table1_2[[#This Row],[Profit]]/Table1_2[[#This Row],[Sales]]</f>
        <v>-6.5373164095331712E-2</v>
      </c>
    </row>
    <row r="432" spans="1:18" hidden="1" x14ac:dyDescent="0.3">
      <c r="A432" t="s">
        <v>445</v>
      </c>
      <c r="B432" s="2"/>
      <c r="C432" s="2">
        <v>44941</v>
      </c>
      <c r="D432" t="s">
        <v>1372</v>
      </c>
      <c r="E432" t="s">
        <v>1374</v>
      </c>
      <c r="F432" t="s">
        <v>1379</v>
      </c>
      <c r="G432" t="s">
        <v>1383</v>
      </c>
      <c r="H432" t="s">
        <v>1388</v>
      </c>
      <c r="I432" t="s">
        <v>1393</v>
      </c>
      <c r="J432" t="s">
        <v>1399</v>
      </c>
      <c r="K432" t="s">
        <v>1679</v>
      </c>
      <c r="L432">
        <v>1154.8499999999999</v>
      </c>
      <c r="M432">
        <v>2</v>
      </c>
      <c r="N432">
        <v>0.1</v>
      </c>
      <c r="O432">
        <v>190.66</v>
      </c>
      <c r="P432">
        <v>577.42499999999995</v>
      </c>
      <c r="Q432">
        <f>Table1_2[[#This Row],[Ship Date]]-Table1_2[[#This Row],[order date]]</f>
        <v>44941</v>
      </c>
      <c r="R432">
        <f>Table1_2[[#This Row],[Profit]]/Table1_2[[#This Row],[Sales]]</f>
        <v>0.16509503398709791</v>
      </c>
    </row>
    <row r="433" spans="1:18" x14ac:dyDescent="0.3">
      <c r="A433" t="s">
        <v>446</v>
      </c>
      <c r="B433" s="2">
        <v>45045</v>
      </c>
      <c r="C433" s="2">
        <v>45047</v>
      </c>
      <c r="D433" t="s">
        <v>1359</v>
      </c>
      <c r="E433" t="s">
        <v>1376</v>
      </c>
      <c r="F433" t="s">
        <v>1704</v>
      </c>
      <c r="G433" t="s">
        <v>1383</v>
      </c>
      <c r="H433" t="s">
        <v>1389</v>
      </c>
      <c r="I433" t="s">
        <v>1393</v>
      </c>
      <c r="J433" t="s">
        <v>1396</v>
      </c>
      <c r="K433" t="s">
        <v>1596</v>
      </c>
      <c r="L433">
        <v>656.25</v>
      </c>
      <c r="M433">
        <v>10</v>
      </c>
      <c r="N433">
        <v>0.15</v>
      </c>
      <c r="O433">
        <v>69.900000000000006</v>
      </c>
      <c r="P433">
        <v>65.625</v>
      </c>
      <c r="Q433">
        <f>Table1_2[[#This Row],[Ship Date]]-Table1_2[[#This Row],[order date]]</f>
        <v>2</v>
      </c>
      <c r="R433" s="3">
        <f>Table1_2[[#This Row],[Profit]]/Table1_2[[#This Row],[Sales]]</f>
        <v>0.10651428571428573</v>
      </c>
    </row>
    <row r="434" spans="1:18" hidden="1" x14ac:dyDescent="0.3">
      <c r="A434" t="s">
        <v>447</v>
      </c>
      <c r="B434" s="2"/>
      <c r="C434" s="2">
        <v>45319</v>
      </c>
      <c r="D434" t="s">
        <v>1364</v>
      </c>
      <c r="E434" t="s">
        <v>1376</v>
      </c>
      <c r="F434" t="s">
        <v>1379</v>
      </c>
      <c r="G434" t="s">
        <v>1381</v>
      </c>
      <c r="H434" t="s">
        <v>1389</v>
      </c>
      <c r="I434" t="s">
        <v>1394</v>
      </c>
      <c r="J434" t="s">
        <v>1403</v>
      </c>
      <c r="K434" t="s">
        <v>1603</v>
      </c>
      <c r="L434">
        <v>1153.49</v>
      </c>
      <c r="M434">
        <v>5</v>
      </c>
      <c r="N434">
        <v>0.15</v>
      </c>
      <c r="O434">
        <v>-134.09</v>
      </c>
      <c r="P434">
        <v>230.69800000000001</v>
      </c>
      <c r="Q434">
        <f>Table1_2[[#This Row],[Ship Date]]-Table1_2[[#This Row],[order date]]</f>
        <v>45319</v>
      </c>
      <c r="R434">
        <f>Table1_2[[#This Row],[Profit]]/Table1_2[[#This Row],[Sales]]</f>
        <v>-0.11624721497368855</v>
      </c>
    </row>
    <row r="435" spans="1:18" x14ac:dyDescent="0.3">
      <c r="A435" t="s">
        <v>448</v>
      </c>
      <c r="B435" s="2">
        <v>44735</v>
      </c>
      <c r="C435" s="2">
        <v>44745</v>
      </c>
      <c r="D435" t="s">
        <v>1370</v>
      </c>
      <c r="E435" t="s">
        <v>1375</v>
      </c>
      <c r="F435" t="s">
        <v>1379</v>
      </c>
      <c r="G435" t="s">
        <v>1384</v>
      </c>
      <c r="H435" t="s">
        <v>1390</v>
      </c>
      <c r="I435" t="s">
        <v>1392</v>
      </c>
      <c r="J435" t="s">
        <v>1395</v>
      </c>
      <c r="K435" t="s">
        <v>1520</v>
      </c>
      <c r="L435">
        <v>1188.6300000000001</v>
      </c>
      <c r="M435">
        <v>10</v>
      </c>
      <c r="N435">
        <v>0</v>
      </c>
      <c r="O435">
        <v>-67.27</v>
      </c>
      <c r="P435">
        <v>118.863</v>
      </c>
      <c r="Q435">
        <f>Table1_2[[#This Row],[Ship Date]]-Table1_2[[#This Row],[order date]]</f>
        <v>10</v>
      </c>
      <c r="R435" s="3">
        <f>Table1_2[[#This Row],[Profit]]/Table1_2[[#This Row],[Sales]]</f>
        <v>-5.6594566854277606E-2</v>
      </c>
    </row>
    <row r="436" spans="1:18" hidden="1" x14ac:dyDescent="0.3">
      <c r="A436" t="s">
        <v>449</v>
      </c>
      <c r="B436" s="2"/>
      <c r="C436" s="2">
        <v>44854</v>
      </c>
      <c r="D436" t="s">
        <v>1370</v>
      </c>
      <c r="E436" t="s">
        <v>1376</v>
      </c>
      <c r="F436" t="s">
        <v>1379</v>
      </c>
      <c r="G436" t="s">
        <v>1386</v>
      </c>
      <c r="H436" t="s">
        <v>1390</v>
      </c>
      <c r="I436" t="s">
        <v>1394</v>
      </c>
      <c r="J436" t="s">
        <v>1402</v>
      </c>
      <c r="K436" t="s">
        <v>1680</v>
      </c>
      <c r="L436">
        <v>894.89</v>
      </c>
      <c r="M436">
        <v>10</v>
      </c>
      <c r="N436">
        <v>0.1</v>
      </c>
      <c r="O436">
        <v>228.26</v>
      </c>
      <c r="P436">
        <v>89.489000000000004</v>
      </c>
      <c r="Q436">
        <f>Table1_2[[#This Row],[Ship Date]]-Table1_2[[#This Row],[order date]]</f>
        <v>44854</v>
      </c>
      <c r="R436">
        <f>Table1_2[[#This Row],[Profit]]/Table1_2[[#This Row],[Sales]]</f>
        <v>0.25507045558672015</v>
      </c>
    </row>
    <row r="437" spans="1:18" x14ac:dyDescent="0.3">
      <c r="A437" t="s">
        <v>450</v>
      </c>
      <c r="B437" s="2">
        <v>45363</v>
      </c>
      <c r="C437" s="2">
        <v>45367</v>
      </c>
      <c r="D437" t="s">
        <v>1359</v>
      </c>
      <c r="E437" t="s">
        <v>1376</v>
      </c>
      <c r="F437" t="s">
        <v>1704</v>
      </c>
      <c r="G437" t="s">
        <v>1386</v>
      </c>
      <c r="H437" t="s">
        <v>1389</v>
      </c>
      <c r="I437" t="s">
        <v>1394</v>
      </c>
      <c r="J437" t="s">
        <v>1402</v>
      </c>
      <c r="K437" t="s">
        <v>1681</v>
      </c>
      <c r="L437">
        <v>963.26</v>
      </c>
      <c r="M437">
        <v>1</v>
      </c>
      <c r="N437">
        <v>0.15</v>
      </c>
      <c r="O437">
        <v>281.31</v>
      </c>
      <c r="P437">
        <v>963.26</v>
      </c>
      <c r="Q437">
        <f>Table1_2[[#This Row],[Ship Date]]-Table1_2[[#This Row],[order date]]</f>
        <v>4</v>
      </c>
      <c r="R437" s="3">
        <f>Table1_2[[#This Row],[Profit]]/Table1_2[[#This Row],[Sales]]</f>
        <v>0.29203953242115316</v>
      </c>
    </row>
    <row r="438" spans="1:18" x14ac:dyDescent="0.3">
      <c r="A438" t="s">
        <v>451</v>
      </c>
      <c r="B438" s="2">
        <v>45238</v>
      </c>
      <c r="C438" s="2">
        <v>45246</v>
      </c>
      <c r="D438" t="s">
        <v>1369</v>
      </c>
      <c r="E438" t="s">
        <v>1375</v>
      </c>
      <c r="F438" t="s">
        <v>1704</v>
      </c>
      <c r="G438" t="s">
        <v>1385</v>
      </c>
      <c r="H438" t="s">
        <v>1389</v>
      </c>
      <c r="I438" t="s">
        <v>1393</v>
      </c>
      <c r="J438" t="s">
        <v>1396</v>
      </c>
      <c r="K438" t="s">
        <v>1533</v>
      </c>
      <c r="L438">
        <v>217.39</v>
      </c>
      <c r="M438">
        <v>10</v>
      </c>
      <c r="N438">
        <v>0.15</v>
      </c>
      <c r="O438">
        <v>-37.57</v>
      </c>
      <c r="P438">
        <v>21.739000000000001</v>
      </c>
      <c r="Q438">
        <f>Table1_2[[#This Row],[Ship Date]]-Table1_2[[#This Row],[order date]]</f>
        <v>8</v>
      </c>
      <c r="R438" s="3">
        <f>Table1_2[[#This Row],[Profit]]/Table1_2[[#This Row],[Sales]]</f>
        <v>-0.17282303693822165</v>
      </c>
    </row>
    <row r="439" spans="1:18" x14ac:dyDescent="0.3">
      <c r="A439" t="s">
        <v>452</v>
      </c>
      <c r="B439" s="2">
        <v>44990</v>
      </c>
      <c r="C439" s="2">
        <v>45058</v>
      </c>
      <c r="D439" t="s">
        <v>1367</v>
      </c>
      <c r="E439" t="s">
        <v>1376</v>
      </c>
      <c r="F439" t="s">
        <v>1704</v>
      </c>
      <c r="G439" t="s">
        <v>1385</v>
      </c>
      <c r="H439" t="s">
        <v>1391</v>
      </c>
      <c r="I439" t="s">
        <v>1392</v>
      </c>
      <c r="J439" t="s">
        <v>1397</v>
      </c>
      <c r="K439" t="s">
        <v>1488</v>
      </c>
      <c r="L439">
        <v>826.54</v>
      </c>
      <c r="M439">
        <v>7</v>
      </c>
      <c r="N439">
        <v>0.2</v>
      </c>
      <c r="O439">
        <v>-56.77</v>
      </c>
      <c r="P439">
        <v>118.0771</v>
      </c>
      <c r="Q439">
        <f>Table1_2[[#This Row],[Ship Date]]-Table1_2[[#This Row],[order date]]</f>
        <v>68</v>
      </c>
      <c r="R439" s="3">
        <f>Table1_2[[#This Row],[Profit]]/Table1_2[[#This Row],[Sales]]</f>
        <v>-6.8683911244464879E-2</v>
      </c>
    </row>
    <row r="440" spans="1:18" x14ac:dyDescent="0.3">
      <c r="A440" t="s">
        <v>453</v>
      </c>
      <c r="B440" s="2">
        <v>45261</v>
      </c>
      <c r="C440" s="2">
        <v>45262</v>
      </c>
      <c r="D440" t="s">
        <v>1372</v>
      </c>
      <c r="E440" t="s">
        <v>1376</v>
      </c>
      <c r="F440" t="s">
        <v>1379</v>
      </c>
      <c r="G440" t="s">
        <v>1384</v>
      </c>
      <c r="H440" t="s">
        <v>1389</v>
      </c>
      <c r="I440" t="s">
        <v>1392</v>
      </c>
      <c r="J440" t="s">
        <v>1395</v>
      </c>
      <c r="K440" t="s">
        <v>1429</v>
      </c>
      <c r="L440">
        <v>772.16</v>
      </c>
      <c r="M440">
        <v>7</v>
      </c>
      <c r="N440">
        <v>0</v>
      </c>
      <c r="O440">
        <v>200.01</v>
      </c>
      <c r="P440">
        <v>110.3086</v>
      </c>
      <c r="Q440">
        <f>Table1_2[[#This Row],[Ship Date]]-Table1_2[[#This Row],[order date]]</f>
        <v>1</v>
      </c>
      <c r="R440" s="3">
        <f>Table1_2[[#This Row],[Profit]]/Table1_2[[#This Row],[Sales]]</f>
        <v>0.25902662660588477</v>
      </c>
    </row>
    <row r="441" spans="1:18" x14ac:dyDescent="0.3">
      <c r="A441" t="s">
        <v>454</v>
      </c>
      <c r="B441" s="2">
        <v>45325</v>
      </c>
      <c r="C441" s="2">
        <v>45357</v>
      </c>
      <c r="D441" t="s">
        <v>1368</v>
      </c>
      <c r="E441" t="s">
        <v>1374</v>
      </c>
      <c r="F441" t="s">
        <v>1379</v>
      </c>
      <c r="G441" t="s">
        <v>1382</v>
      </c>
      <c r="H441" t="s">
        <v>1388</v>
      </c>
      <c r="I441" t="s">
        <v>1393</v>
      </c>
      <c r="J441" t="s">
        <v>1396</v>
      </c>
      <c r="K441" t="s">
        <v>1682</v>
      </c>
      <c r="L441">
        <v>714.69</v>
      </c>
      <c r="M441">
        <v>4</v>
      </c>
      <c r="N441">
        <v>0</v>
      </c>
      <c r="O441">
        <v>-22.37</v>
      </c>
      <c r="P441">
        <v>178.67250000000001</v>
      </c>
      <c r="Q441">
        <f>Table1_2[[#This Row],[Ship Date]]-Table1_2[[#This Row],[order date]]</f>
        <v>32</v>
      </c>
      <c r="R441" s="3">
        <f>Table1_2[[#This Row],[Profit]]/Table1_2[[#This Row],[Sales]]</f>
        <v>-3.1300284039233794E-2</v>
      </c>
    </row>
    <row r="442" spans="1:18" x14ac:dyDescent="0.3">
      <c r="A442" t="s">
        <v>455</v>
      </c>
      <c r="B442" s="2">
        <v>44574</v>
      </c>
      <c r="C442" s="2">
        <v>44581</v>
      </c>
      <c r="D442" t="s">
        <v>1371</v>
      </c>
      <c r="E442" t="s">
        <v>1375</v>
      </c>
      <c r="F442" t="s">
        <v>1379</v>
      </c>
      <c r="G442" t="s">
        <v>1383</v>
      </c>
      <c r="H442" t="s">
        <v>1388</v>
      </c>
      <c r="I442" t="s">
        <v>1392</v>
      </c>
      <c r="J442" t="s">
        <v>1395</v>
      </c>
      <c r="K442" t="s">
        <v>1566</v>
      </c>
      <c r="L442">
        <v>142.61000000000001</v>
      </c>
      <c r="M442">
        <v>8</v>
      </c>
      <c r="N442">
        <v>0.15</v>
      </c>
      <c r="O442">
        <v>-12.88</v>
      </c>
      <c r="P442">
        <v>17.8263</v>
      </c>
      <c r="Q442">
        <f>Table1_2[[#This Row],[Ship Date]]-Table1_2[[#This Row],[order date]]</f>
        <v>7</v>
      </c>
      <c r="R442" s="3">
        <f>Table1_2[[#This Row],[Profit]]/Table1_2[[#This Row],[Sales]]</f>
        <v>-9.0316247107495959E-2</v>
      </c>
    </row>
    <row r="443" spans="1:18" x14ac:dyDescent="0.3">
      <c r="A443" t="s">
        <v>456</v>
      </c>
      <c r="B443" s="2">
        <v>45170</v>
      </c>
      <c r="C443" s="2">
        <v>45174</v>
      </c>
      <c r="D443" t="s">
        <v>1365</v>
      </c>
      <c r="E443" t="s">
        <v>1374</v>
      </c>
      <c r="F443" t="s">
        <v>1704</v>
      </c>
      <c r="G443" t="s">
        <v>1381</v>
      </c>
      <c r="H443" t="s">
        <v>1390</v>
      </c>
      <c r="I443" t="s">
        <v>1393</v>
      </c>
      <c r="J443" t="s">
        <v>1396</v>
      </c>
      <c r="K443" t="s">
        <v>1537</v>
      </c>
      <c r="L443">
        <v>163.71</v>
      </c>
      <c r="M443">
        <v>2</v>
      </c>
      <c r="N443">
        <v>0</v>
      </c>
      <c r="O443">
        <v>37.36</v>
      </c>
      <c r="P443">
        <v>81.855000000000004</v>
      </c>
      <c r="Q443">
        <f>Table1_2[[#This Row],[Ship Date]]-Table1_2[[#This Row],[order date]]</f>
        <v>4</v>
      </c>
      <c r="R443" s="3">
        <f>Table1_2[[#This Row],[Profit]]/Table1_2[[#This Row],[Sales]]</f>
        <v>0.22820841732331559</v>
      </c>
    </row>
    <row r="444" spans="1:18" hidden="1" x14ac:dyDescent="0.3">
      <c r="A444" t="s">
        <v>457</v>
      </c>
      <c r="B444" s="2"/>
      <c r="C444" s="2">
        <v>44871</v>
      </c>
      <c r="D444" t="s">
        <v>1372</v>
      </c>
      <c r="E444" t="s">
        <v>1375</v>
      </c>
      <c r="F444" t="s">
        <v>1379</v>
      </c>
      <c r="G444" t="s">
        <v>1384</v>
      </c>
      <c r="H444" t="s">
        <v>1388</v>
      </c>
      <c r="I444" t="s">
        <v>1393</v>
      </c>
      <c r="J444" t="s">
        <v>1400</v>
      </c>
      <c r="K444" t="s">
        <v>1647</v>
      </c>
      <c r="L444">
        <v>773.76</v>
      </c>
      <c r="M444">
        <v>5</v>
      </c>
      <c r="N444">
        <v>0.2</v>
      </c>
      <c r="O444">
        <v>113.05</v>
      </c>
      <c r="P444">
        <v>154.75200000000001</v>
      </c>
      <c r="Q444">
        <f>Table1_2[[#This Row],[Ship Date]]-Table1_2[[#This Row],[order date]]</f>
        <v>44871</v>
      </c>
      <c r="R444">
        <f>Table1_2[[#This Row],[Profit]]/Table1_2[[#This Row],[Sales]]</f>
        <v>0.14610473531844501</v>
      </c>
    </row>
    <row r="445" spans="1:18" x14ac:dyDescent="0.3">
      <c r="A445" t="s">
        <v>458</v>
      </c>
      <c r="B445" s="2">
        <v>44959</v>
      </c>
      <c r="C445" s="2">
        <v>44965</v>
      </c>
      <c r="D445" t="s">
        <v>1370</v>
      </c>
      <c r="E445" t="s">
        <v>1376</v>
      </c>
      <c r="F445" t="s">
        <v>1704</v>
      </c>
      <c r="G445" t="s">
        <v>1382</v>
      </c>
      <c r="H445" t="s">
        <v>1389</v>
      </c>
      <c r="I445" t="s">
        <v>1392</v>
      </c>
      <c r="J445" t="s">
        <v>1397</v>
      </c>
      <c r="K445" t="s">
        <v>1609</v>
      </c>
      <c r="L445">
        <v>1147.6099999999999</v>
      </c>
      <c r="M445">
        <v>5</v>
      </c>
      <c r="N445">
        <v>0.1</v>
      </c>
      <c r="O445">
        <v>23.28</v>
      </c>
      <c r="P445">
        <v>229.52199999999999</v>
      </c>
      <c r="Q445">
        <f>Table1_2[[#This Row],[Ship Date]]-Table1_2[[#This Row],[order date]]</f>
        <v>6</v>
      </c>
      <c r="R445" s="3">
        <f>Table1_2[[#This Row],[Profit]]/Table1_2[[#This Row],[Sales]]</f>
        <v>2.0285637106682585E-2</v>
      </c>
    </row>
    <row r="446" spans="1:18" x14ac:dyDescent="0.3">
      <c r="A446" t="s">
        <v>459</v>
      </c>
      <c r="B446" s="2">
        <v>44709</v>
      </c>
      <c r="C446" s="2">
        <v>44718</v>
      </c>
      <c r="D446" t="s">
        <v>1369</v>
      </c>
      <c r="E446" t="s">
        <v>1375</v>
      </c>
      <c r="F446" t="s">
        <v>1379</v>
      </c>
      <c r="G446" t="s">
        <v>1386</v>
      </c>
      <c r="H446" t="s">
        <v>1389</v>
      </c>
      <c r="I446" t="s">
        <v>1394</v>
      </c>
      <c r="J446" t="s">
        <v>1402</v>
      </c>
      <c r="K446" t="s">
        <v>1683</v>
      </c>
      <c r="L446">
        <v>744.48</v>
      </c>
      <c r="M446">
        <v>2</v>
      </c>
      <c r="N446">
        <v>0.2</v>
      </c>
      <c r="O446">
        <v>117.4</v>
      </c>
      <c r="P446">
        <v>372.24</v>
      </c>
      <c r="Q446">
        <f>Table1_2[[#This Row],[Ship Date]]-Table1_2[[#This Row],[order date]]</f>
        <v>9</v>
      </c>
      <c r="R446" s="3">
        <f>Table1_2[[#This Row],[Profit]]/Table1_2[[#This Row],[Sales]]</f>
        <v>0.15769396088545026</v>
      </c>
    </row>
    <row r="447" spans="1:18" hidden="1" x14ac:dyDescent="0.3">
      <c r="A447" t="s">
        <v>460</v>
      </c>
      <c r="B447" s="2"/>
      <c r="C447" s="2">
        <v>45074</v>
      </c>
      <c r="D447" t="s">
        <v>1372</v>
      </c>
      <c r="E447" t="s">
        <v>1374</v>
      </c>
      <c r="F447" t="s">
        <v>1379</v>
      </c>
      <c r="G447" t="s">
        <v>1383</v>
      </c>
      <c r="H447" t="s">
        <v>1389</v>
      </c>
      <c r="I447" t="s">
        <v>1393</v>
      </c>
      <c r="J447" t="s">
        <v>1396</v>
      </c>
      <c r="K447" t="s">
        <v>1550</v>
      </c>
      <c r="L447">
        <v>21.02</v>
      </c>
      <c r="M447">
        <v>1</v>
      </c>
      <c r="N447">
        <v>0.2</v>
      </c>
      <c r="O447">
        <v>-1.4</v>
      </c>
      <c r="P447">
        <v>21.02</v>
      </c>
      <c r="Q447">
        <f>Table1_2[[#This Row],[Ship Date]]-Table1_2[[#This Row],[order date]]</f>
        <v>45074</v>
      </c>
      <c r="R447">
        <f>Table1_2[[#This Row],[Profit]]/Table1_2[[#This Row],[Sales]]</f>
        <v>-6.6603235014272122E-2</v>
      </c>
    </row>
    <row r="448" spans="1:18" x14ac:dyDescent="0.3">
      <c r="A448" t="s">
        <v>461</v>
      </c>
      <c r="B448" s="2">
        <v>45008</v>
      </c>
      <c r="C448" s="2">
        <v>45015</v>
      </c>
      <c r="D448" t="s">
        <v>1361</v>
      </c>
      <c r="E448" t="s">
        <v>1374</v>
      </c>
      <c r="F448" t="s">
        <v>1379</v>
      </c>
      <c r="G448" t="s">
        <v>1384</v>
      </c>
      <c r="H448" t="s">
        <v>1391</v>
      </c>
      <c r="I448" t="s">
        <v>1393</v>
      </c>
      <c r="J448" t="s">
        <v>1400</v>
      </c>
      <c r="K448" t="s">
        <v>1479</v>
      </c>
      <c r="L448">
        <v>657.35</v>
      </c>
      <c r="M448">
        <v>1</v>
      </c>
      <c r="N448">
        <v>0.2</v>
      </c>
      <c r="O448">
        <v>182.14</v>
      </c>
      <c r="P448">
        <v>657.35</v>
      </c>
      <c r="Q448">
        <f>Table1_2[[#This Row],[Ship Date]]-Table1_2[[#This Row],[order date]]</f>
        <v>7</v>
      </c>
      <c r="R448" s="3">
        <f>Table1_2[[#This Row],[Profit]]/Table1_2[[#This Row],[Sales]]</f>
        <v>0.27708222408153949</v>
      </c>
    </row>
    <row r="449" spans="1:18" x14ac:dyDescent="0.3">
      <c r="A449" t="s">
        <v>462</v>
      </c>
      <c r="B449" s="2">
        <v>44618</v>
      </c>
      <c r="C449" s="2">
        <v>44620</v>
      </c>
      <c r="D449" t="s">
        <v>1363</v>
      </c>
      <c r="E449" t="s">
        <v>1374</v>
      </c>
      <c r="F449" t="s">
        <v>1379</v>
      </c>
      <c r="G449" t="s">
        <v>1385</v>
      </c>
      <c r="H449" t="s">
        <v>1390</v>
      </c>
      <c r="I449" t="s">
        <v>1394</v>
      </c>
      <c r="J449" t="s">
        <v>1398</v>
      </c>
      <c r="K449" t="s">
        <v>1651</v>
      </c>
      <c r="L449">
        <v>1026.94</v>
      </c>
      <c r="M449">
        <v>6</v>
      </c>
      <c r="N449">
        <v>0</v>
      </c>
      <c r="O449">
        <v>226.53</v>
      </c>
      <c r="P449">
        <v>171.1567</v>
      </c>
      <c r="Q449">
        <f>Table1_2[[#This Row],[Ship Date]]-Table1_2[[#This Row],[order date]]</f>
        <v>2</v>
      </c>
      <c r="R449" s="3">
        <f>Table1_2[[#This Row],[Profit]]/Table1_2[[#This Row],[Sales]]</f>
        <v>0.22058737608818429</v>
      </c>
    </row>
    <row r="450" spans="1:18" x14ac:dyDescent="0.3">
      <c r="A450" t="s">
        <v>463</v>
      </c>
      <c r="B450" s="2">
        <v>45274</v>
      </c>
      <c r="C450" s="2">
        <v>45281</v>
      </c>
      <c r="D450" t="s">
        <v>1363</v>
      </c>
      <c r="E450" t="s">
        <v>1375</v>
      </c>
      <c r="F450" t="s">
        <v>1704</v>
      </c>
      <c r="G450" t="s">
        <v>1381</v>
      </c>
      <c r="H450" t="s">
        <v>1390</v>
      </c>
      <c r="I450" t="s">
        <v>1392</v>
      </c>
      <c r="J450" t="s">
        <v>1395</v>
      </c>
      <c r="K450" t="s">
        <v>1615</v>
      </c>
      <c r="L450">
        <v>832.83</v>
      </c>
      <c r="M450">
        <v>8</v>
      </c>
      <c r="N450">
        <v>0</v>
      </c>
      <c r="O450">
        <v>202.05</v>
      </c>
      <c r="P450">
        <v>104.10380000000001</v>
      </c>
      <c r="Q450">
        <f>Table1_2[[#This Row],[Ship Date]]-Table1_2[[#This Row],[order date]]</f>
        <v>7</v>
      </c>
      <c r="R450" s="3">
        <f>Table1_2[[#This Row],[Profit]]/Table1_2[[#This Row],[Sales]]</f>
        <v>0.24260653434674542</v>
      </c>
    </row>
    <row r="451" spans="1:18" x14ac:dyDescent="0.3">
      <c r="A451" t="s">
        <v>464</v>
      </c>
      <c r="B451" s="2">
        <v>44960</v>
      </c>
      <c r="C451" s="2">
        <v>44962</v>
      </c>
      <c r="D451" t="s">
        <v>1366</v>
      </c>
      <c r="E451" t="s">
        <v>1375</v>
      </c>
      <c r="F451" t="s">
        <v>1379</v>
      </c>
      <c r="G451" t="s">
        <v>1386</v>
      </c>
      <c r="H451" t="s">
        <v>1388</v>
      </c>
      <c r="I451" t="s">
        <v>1393</v>
      </c>
      <c r="J451" t="s">
        <v>1396</v>
      </c>
      <c r="K451" t="s">
        <v>1607</v>
      </c>
      <c r="L451">
        <v>383.12</v>
      </c>
      <c r="M451">
        <v>9</v>
      </c>
      <c r="N451">
        <v>0.2</v>
      </c>
      <c r="O451">
        <v>108.53</v>
      </c>
      <c r="P451">
        <v>42.568899999999999</v>
      </c>
      <c r="Q451">
        <f>Table1_2[[#This Row],[Ship Date]]-Table1_2[[#This Row],[order date]]</f>
        <v>2</v>
      </c>
      <c r="R451" s="3">
        <f>Table1_2[[#This Row],[Profit]]/Table1_2[[#This Row],[Sales]]</f>
        <v>0.28327939026936733</v>
      </c>
    </row>
    <row r="452" spans="1:18" x14ac:dyDescent="0.3">
      <c r="A452" t="s">
        <v>465</v>
      </c>
      <c r="B452" s="2">
        <v>44683</v>
      </c>
      <c r="C452" s="2">
        <v>44687</v>
      </c>
      <c r="D452" t="s">
        <v>1369</v>
      </c>
      <c r="E452" t="s">
        <v>1374</v>
      </c>
      <c r="F452" t="s">
        <v>1704</v>
      </c>
      <c r="G452" t="s">
        <v>1385</v>
      </c>
      <c r="H452" t="s">
        <v>1388</v>
      </c>
      <c r="I452" t="s">
        <v>1393</v>
      </c>
      <c r="J452" t="s">
        <v>1396</v>
      </c>
      <c r="K452" t="s">
        <v>1550</v>
      </c>
      <c r="L452">
        <v>637.28</v>
      </c>
      <c r="M452">
        <v>9</v>
      </c>
      <c r="N452">
        <v>0.1</v>
      </c>
      <c r="O452">
        <v>108.67</v>
      </c>
      <c r="P452">
        <v>70.808899999999994</v>
      </c>
      <c r="Q452">
        <f>Table1_2[[#This Row],[Ship Date]]-Table1_2[[#This Row],[order date]]</f>
        <v>4</v>
      </c>
      <c r="R452" s="3">
        <f>Table1_2[[#This Row],[Profit]]/Table1_2[[#This Row],[Sales]]</f>
        <v>0.17052159176500126</v>
      </c>
    </row>
    <row r="453" spans="1:18" x14ac:dyDescent="0.3">
      <c r="A453" t="s">
        <v>466</v>
      </c>
      <c r="B453" s="2">
        <v>45195</v>
      </c>
      <c r="C453" s="2">
        <v>45196</v>
      </c>
      <c r="D453" t="s">
        <v>1366</v>
      </c>
      <c r="E453" t="s">
        <v>1374</v>
      </c>
      <c r="F453" t="s">
        <v>1704</v>
      </c>
      <c r="G453" t="s">
        <v>1386</v>
      </c>
      <c r="H453" t="s">
        <v>1388</v>
      </c>
      <c r="I453" t="s">
        <v>1392</v>
      </c>
      <c r="J453" t="s">
        <v>1395</v>
      </c>
      <c r="K453" t="s">
        <v>1684</v>
      </c>
      <c r="L453">
        <v>785.57</v>
      </c>
      <c r="M453">
        <v>1</v>
      </c>
      <c r="N453">
        <v>0.1</v>
      </c>
      <c r="O453">
        <v>91.39</v>
      </c>
      <c r="P453">
        <v>785.57</v>
      </c>
      <c r="Q453">
        <f>Table1_2[[#This Row],[Ship Date]]-Table1_2[[#This Row],[order date]]</f>
        <v>1</v>
      </c>
      <c r="R453" s="3">
        <f>Table1_2[[#This Row],[Profit]]/Table1_2[[#This Row],[Sales]]</f>
        <v>0.11633590895782679</v>
      </c>
    </row>
    <row r="454" spans="1:18" hidden="1" x14ac:dyDescent="0.3">
      <c r="A454" t="s">
        <v>467</v>
      </c>
      <c r="B454" s="2"/>
      <c r="C454" s="2">
        <v>44686</v>
      </c>
      <c r="D454" t="s">
        <v>1373</v>
      </c>
      <c r="E454" t="s">
        <v>1375</v>
      </c>
      <c r="F454" t="s">
        <v>1704</v>
      </c>
      <c r="G454" t="s">
        <v>1384</v>
      </c>
      <c r="H454" t="s">
        <v>1390</v>
      </c>
      <c r="I454" t="s">
        <v>1393</v>
      </c>
      <c r="J454" t="s">
        <v>1396</v>
      </c>
      <c r="K454" t="s">
        <v>1669</v>
      </c>
      <c r="L454">
        <v>280.27999999999997</v>
      </c>
      <c r="M454">
        <v>4</v>
      </c>
      <c r="N454">
        <v>0.2</v>
      </c>
      <c r="O454">
        <v>-8.7799999999999994</v>
      </c>
      <c r="P454">
        <v>70.069999999999993</v>
      </c>
      <c r="Q454">
        <f>Table1_2[[#This Row],[Ship Date]]-Table1_2[[#This Row],[order date]]</f>
        <v>44686</v>
      </c>
      <c r="R454">
        <f>Table1_2[[#This Row],[Profit]]/Table1_2[[#This Row],[Sales]]</f>
        <v>-3.1325817040102753E-2</v>
      </c>
    </row>
    <row r="455" spans="1:18" x14ac:dyDescent="0.3">
      <c r="A455" t="s">
        <v>468</v>
      </c>
      <c r="B455" s="2">
        <v>44608</v>
      </c>
      <c r="C455" s="2">
        <v>44618</v>
      </c>
      <c r="D455" t="s">
        <v>1362</v>
      </c>
      <c r="E455" t="s">
        <v>1375</v>
      </c>
      <c r="F455" t="s">
        <v>1704</v>
      </c>
      <c r="G455" t="s">
        <v>1387</v>
      </c>
      <c r="H455" t="s">
        <v>1388</v>
      </c>
      <c r="I455" t="s">
        <v>1392</v>
      </c>
      <c r="J455" t="s">
        <v>1397</v>
      </c>
      <c r="K455" t="s">
        <v>1685</v>
      </c>
      <c r="L455">
        <v>94.6</v>
      </c>
      <c r="M455">
        <v>5</v>
      </c>
      <c r="N455">
        <v>0.1</v>
      </c>
      <c r="O455">
        <v>16.91</v>
      </c>
      <c r="P455">
        <v>18.920000000000002</v>
      </c>
      <c r="Q455">
        <f>Table1_2[[#This Row],[Ship Date]]-Table1_2[[#This Row],[order date]]</f>
        <v>10</v>
      </c>
      <c r="R455" s="3">
        <f>Table1_2[[#This Row],[Profit]]/Table1_2[[#This Row],[Sales]]</f>
        <v>0.17875264270613109</v>
      </c>
    </row>
    <row r="456" spans="1:18" x14ac:dyDescent="0.3">
      <c r="A456" t="s">
        <v>469</v>
      </c>
      <c r="B456" s="2">
        <v>44664</v>
      </c>
      <c r="C456" s="2">
        <v>44674</v>
      </c>
      <c r="D456" t="s">
        <v>1361</v>
      </c>
      <c r="E456" t="s">
        <v>1374</v>
      </c>
      <c r="F456" t="s">
        <v>1379</v>
      </c>
      <c r="G456" t="s">
        <v>1385</v>
      </c>
      <c r="H456" t="s">
        <v>1389</v>
      </c>
      <c r="I456" t="s">
        <v>1394</v>
      </c>
      <c r="J456" t="s">
        <v>1402</v>
      </c>
      <c r="K456" t="s">
        <v>1686</v>
      </c>
      <c r="L456">
        <v>38.44</v>
      </c>
      <c r="M456">
        <v>8</v>
      </c>
      <c r="N456">
        <v>0</v>
      </c>
      <c r="O456">
        <v>-7.57</v>
      </c>
      <c r="P456">
        <v>4.8049999999999997</v>
      </c>
      <c r="Q456">
        <f>Table1_2[[#This Row],[Ship Date]]-Table1_2[[#This Row],[order date]]</f>
        <v>10</v>
      </c>
      <c r="R456" s="3">
        <f>Table1_2[[#This Row],[Profit]]/Table1_2[[#This Row],[Sales]]</f>
        <v>-0.19693028095733614</v>
      </c>
    </row>
    <row r="457" spans="1:18" x14ac:dyDescent="0.3">
      <c r="A457" t="s">
        <v>470</v>
      </c>
      <c r="B457" s="2">
        <v>44691</v>
      </c>
      <c r="C457" s="2">
        <v>44695</v>
      </c>
      <c r="D457" t="s">
        <v>1364</v>
      </c>
      <c r="E457" t="s">
        <v>1375</v>
      </c>
      <c r="F457" t="s">
        <v>1704</v>
      </c>
      <c r="G457" t="s">
        <v>1382</v>
      </c>
      <c r="H457" t="s">
        <v>1389</v>
      </c>
      <c r="I457" t="s">
        <v>1392</v>
      </c>
      <c r="J457" t="s">
        <v>1395</v>
      </c>
      <c r="K457" t="s">
        <v>1520</v>
      </c>
      <c r="L457">
        <v>339.72</v>
      </c>
      <c r="M457">
        <v>8</v>
      </c>
      <c r="N457">
        <v>0.2</v>
      </c>
      <c r="O457">
        <v>-27.3</v>
      </c>
      <c r="P457">
        <v>42.465000000000003</v>
      </c>
      <c r="Q457">
        <f>Table1_2[[#This Row],[Ship Date]]-Table1_2[[#This Row],[order date]]</f>
        <v>4</v>
      </c>
      <c r="R457" s="3">
        <f>Table1_2[[#This Row],[Profit]]/Table1_2[[#This Row],[Sales]]</f>
        <v>-8.0360296714941715E-2</v>
      </c>
    </row>
    <row r="458" spans="1:18" x14ac:dyDescent="0.3">
      <c r="A458" t="s">
        <v>471</v>
      </c>
      <c r="B458" s="2">
        <v>44565</v>
      </c>
      <c r="C458" s="2">
        <v>44657</v>
      </c>
      <c r="D458" t="s">
        <v>1361</v>
      </c>
      <c r="E458" t="s">
        <v>1376</v>
      </c>
      <c r="F458" t="s">
        <v>1704</v>
      </c>
      <c r="G458" t="s">
        <v>1385</v>
      </c>
      <c r="H458" t="s">
        <v>1390</v>
      </c>
      <c r="I458" t="s">
        <v>1394</v>
      </c>
      <c r="J458" t="s">
        <v>1403</v>
      </c>
      <c r="K458" t="s">
        <v>1450</v>
      </c>
      <c r="L458">
        <v>25.39</v>
      </c>
      <c r="M458">
        <v>4</v>
      </c>
      <c r="N458">
        <v>0.1</v>
      </c>
      <c r="O458">
        <v>-3.59</v>
      </c>
      <c r="P458">
        <v>6.3475000000000001</v>
      </c>
      <c r="Q458">
        <f>Table1_2[[#This Row],[Ship Date]]-Table1_2[[#This Row],[order date]]</f>
        <v>92</v>
      </c>
      <c r="R458" s="3">
        <f>Table1_2[[#This Row],[Profit]]/Table1_2[[#This Row],[Sales]]</f>
        <v>-0.14139424970460809</v>
      </c>
    </row>
    <row r="459" spans="1:18" hidden="1" x14ac:dyDescent="0.3">
      <c r="A459" t="s">
        <v>472</v>
      </c>
      <c r="B459" s="2"/>
      <c r="C459" s="2">
        <v>44620</v>
      </c>
      <c r="D459" t="s">
        <v>1369</v>
      </c>
      <c r="E459" t="s">
        <v>1374</v>
      </c>
      <c r="F459" t="s">
        <v>1379</v>
      </c>
      <c r="G459" t="s">
        <v>1384</v>
      </c>
      <c r="H459" t="s">
        <v>1390</v>
      </c>
      <c r="I459" t="s">
        <v>1392</v>
      </c>
      <c r="J459" t="s">
        <v>1401</v>
      </c>
      <c r="K459" t="s">
        <v>1619</v>
      </c>
      <c r="L459">
        <v>828.59</v>
      </c>
      <c r="M459">
        <v>8</v>
      </c>
      <c r="N459">
        <v>0.2</v>
      </c>
      <c r="O459">
        <v>-92.67</v>
      </c>
      <c r="P459">
        <v>103.57380000000001</v>
      </c>
      <c r="Q459">
        <f>Table1_2[[#This Row],[Ship Date]]-Table1_2[[#This Row],[order date]]</f>
        <v>44620</v>
      </c>
      <c r="R459">
        <f>Table1_2[[#This Row],[Profit]]/Table1_2[[#This Row],[Sales]]</f>
        <v>-0.11184059667628139</v>
      </c>
    </row>
    <row r="460" spans="1:18" x14ac:dyDescent="0.3">
      <c r="A460" t="s">
        <v>473</v>
      </c>
      <c r="B460" s="2">
        <v>44819</v>
      </c>
      <c r="C460" s="2">
        <v>44825</v>
      </c>
      <c r="D460" t="s">
        <v>1365</v>
      </c>
      <c r="E460" t="s">
        <v>1375</v>
      </c>
      <c r="F460" t="s">
        <v>1379</v>
      </c>
      <c r="G460" t="s">
        <v>1387</v>
      </c>
      <c r="H460" t="s">
        <v>1389</v>
      </c>
      <c r="I460" t="s">
        <v>1393</v>
      </c>
      <c r="J460" t="s">
        <v>1399</v>
      </c>
      <c r="K460" t="s">
        <v>1548</v>
      </c>
      <c r="L460">
        <v>71.11</v>
      </c>
      <c r="M460">
        <v>1</v>
      </c>
      <c r="N460">
        <v>0</v>
      </c>
      <c r="O460">
        <v>-7.97</v>
      </c>
      <c r="P460">
        <v>71.11</v>
      </c>
      <c r="Q460">
        <f>Table1_2[[#This Row],[Ship Date]]-Table1_2[[#This Row],[order date]]</f>
        <v>6</v>
      </c>
      <c r="R460" s="3">
        <f>Table1_2[[#This Row],[Profit]]/Table1_2[[#This Row],[Sales]]</f>
        <v>-0.11207987624806637</v>
      </c>
    </row>
    <row r="461" spans="1:18" x14ac:dyDescent="0.3">
      <c r="A461" t="s">
        <v>474</v>
      </c>
      <c r="B461" s="2">
        <v>45155</v>
      </c>
      <c r="C461" s="2">
        <v>45161</v>
      </c>
      <c r="D461" t="s">
        <v>1363</v>
      </c>
      <c r="E461" t="s">
        <v>1375</v>
      </c>
      <c r="F461" t="s">
        <v>1704</v>
      </c>
      <c r="G461" t="s">
        <v>1386</v>
      </c>
      <c r="H461" t="s">
        <v>1390</v>
      </c>
      <c r="I461" t="s">
        <v>1394</v>
      </c>
      <c r="J461" t="s">
        <v>1402</v>
      </c>
      <c r="K461" t="s">
        <v>1687</v>
      </c>
      <c r="L461">
        <v>901.56</v>
      </c>
      <c r="M461">
        <v>6</v>
      </c>
      <c r="N461">
        <v>0.1</v>
      </c>
      <c r="O461">
        <v>170.83</v>
      </c>
      <c r="P461">
        <v>150.26</v>
      </c>
      <c r="Q461">
        <f>Table1_2[[#This Row],[Ship Date]]-Table1_2[[#This Row],[order date]]</f>
        <v>6</v>
      </c>
      <c r="R461" s="3">
        <f>Table1_2[[#This Row],[Profit]]/Table1_2[[#This Row],[Sales]]</f>
        <v>0.18948267447535386</v>
      </c>
    </row>
    <row r="462" spans="1:18" hidden="1" x14ac:dyDescent="0.3">
      <c r="A462" t="s">
        <v>475</v>
      </c>
      <c r="B462" s="2"/>
      <c r="C462" s="2">
        <v>44789</v>
      </c>
      <c r="D462" t="s">
        <v>1367</v>
      </c>
      <c r="E462" t="s">
        <v>1376</v>
      </c>
      <c r="F462" t="s">
        <v>1379</v>
      </c>
      <c r="G462" t="s">
        <v>1387</v>
      </c>
      <c r="H462" t="s">
        <v>1389</v>
      </c>
      <c r="I462" t="s">
        <v>1394</v>
      </c>
      <c r="J462" t="s">
        <v>1398</v>
      </c>
      <c r="K462" t="s">
        <v>1688</v>
      </c>
      <c r="L462">
        <v>591.6</v>
      </c>
      <c r="M462">
        <v>7</v>
      </c>
      <c r="N462">
        <v>0.1</v>
      </c>
      <c r="O462">
        <v>-54.38</v>
      </c>
      <c r="P462">
        <v>84.514300000000006</v>
      </c>
      <c r="Q462">
        <f>Table1_2[[#This Row],[Ship Date]]-Table1_2[[#This Row],[order date]]</f>
        <v>44789</v>
      </c>
      <c r="R462">
        <f>Table1_2[[#This Row],[Profit]]/Table1_2[[#This Row],[Sales]]</f>
        <v>-9.1920216362407034E-2</v>
      </c>
    </row>
    <row r="463" spans="1:18" x14ac:dyDescent="0.3">
      <c r="A463" t="s">
        <v>476</v>
      </c>
      <c r="B463" s="2">
        <v>44760</v>
      </c>
      <c r="C463" s="2">
        <v>44766</v>
      </c>
      <c r="D463" t="s">
        <v>1366</v>
      </c>
      <c r="E463" t="s">
        <v>1376</v>
      </c>
      <c r="F463" t="s">
        <v>1704</v>
      </c>
      <c r="G463" t="s">
        <v>1387</v>
      </c>
      <c r="H463" t="s">
        <v>1391</v>
      </c>
      <c r="I463" t="s">
        <v>1394</v>
      </c>
      <c r="J463" t="s">
        <v>1402</v>
      </c>
      <c r="K463" t="s">
        <v>1601</v>
      </c>
      <c r="L463">
        <v>416.35</v>
      </c>
      <c r="M463">
        <v>1</v>
      </c>
      <c r="N463">
        <v>0</v>
      </c>
      <c r="O463">
        <v>-70.849999999999994</v>
      </c>
      <c r="P463">
        <v>416.35</v>
      </c>
      <c r="Q463">
        <f>Table1_2[[#This Row],[Ship Date]]-Table1_2[[#This Row],[order date]]</f>
        <v>6</v>
      </c>
      <c r="R463" s="3">
        <f>Table1_2[[#This Row],[Profit]]/Table1_2[[#This Row],[Sales]]</f>
        <v>-0.17016932868980422</v>
      </c>
    </row>
    <row r="464" spans="1:18" x14ac:dyDescent="0.3">
      <c r="A464" t="s">
        <v>477</v>
      </c>
      <c r="B464" s="2">
        <v>44864</v>
      </c>
      <c r="C464" s="2">
        <v>44874</v>
      </c>
      <c r="D464" t="s">
        <v>1366</v>
      </c>
      <c r="E464" t="s">
        <v>1374</v>
      </c>
      <c r="F464" t="s">
        <v>1704</v>
      </c>
      <c r="G464" t="s">
        <v>1386</v>
      </c>
      <c r="H464" t="s">
        <v>1390</v>
      </c>
      <c r="I464" t="s">
        <v>1392</v>
      </c>
      <c r="J464" t="s">
        <v>1395</v>
      </c>
      <c r="K464" t="s">
        <v>1689</v>
      </c>
      <c r="L464">
        <v>1144.26</v>
      </c>
      <c r="M464">
        <v>3</v>
      </c>
      <c r="N464">
        <v>0</v>
      </c>
      <c r="O464">
        <v>326.19</v>
      </c>
      <c r="P464">
        <v>381.42</v>
      </c>
      <c r="Q464">
        <f>Table1_2[[#This Row],[Ship Date]]-Table1_2[[#This Row],[order date]]</f>
        <v>10</v>
      </c>
      <c r="R464" s="3">
        <f>Table1_2[[#This Row],[Profit]]/Table1_2[[#This Row],[Sales]]</f>
        <v>0.28506633107860102</v>
      </c>
    </row>
    <row r="465" spans="1:18" hidden="1" x14ac:dyDescent="0.3">
      <c r="A465" t="s">
        <v>478</v>
      </c>
      <c r="B465" s="2"/>
      <c r="C465" s="2">
        <v>45054</v>
      </c>
      <c r="D465" t="s">
        <v>1370</v>
      </c>
      <c r="E465" t="s">
        <v>1375</v>
      </c>
      <c r="F465" t="s">
        <v>1379</v>
      </c>
      <c r="G465" t="s">
        <v>1385</v>
      </c>
      <c r="H465" t="s">
        <v>1388</v>
      </c>
      <c r="I465" t="s">
        <v>1394</v>
      </c>
      <c r="J465" t="s">
        <v>1402</v>
      </c>
      <c r="K465" t="s">
        <v>1623</v>
      </c>
      <c r="L465">
        <v>881.42</v>
      </c>
      <c r="M465">
        <v>4</v>
      </c>
      <c r="N465">
        <v>0.1</v>
      </c>
      <c r="O465">
        <v>-32.04</v>
      </c>
      <c r="P465">
        <v>220.35499999999999</v>
      </c>
      <c r="Q465">
        <f>Table1_2[[#This Row],[Ship Date]]-Table1_2[[#This Row],[order date]]</f>
        <v>45054</v>
      </c>
      <c r="R465">
        <f>Table1_2[[#This Row],[Profit]]/Table1_2[[#This Row],[Sales]]</f>
        <v>-3.6350434526105604E-2</v>
      </c>
    </row>
    <row r="466" spans="1:18" x14ac:dyDescent="0.3">
      <c r="A466" t="s">
        <v>479</v>
      </c>
      <c r="B466" s="2">
        <v>45043</v>
      </c>
      <c r="C466" s="2">
        <v>45052</v>
      </c>
      <c r="D466" t="s">
        <v>1361</v>
      </c>
      <c r="E466" t="s">
        <v>1375</v>
      </c>
      <c r="F466" t="s">
        <v>1704</v>
      </c>
      <c r="G466" t="s">
        <v>1387</v>
      </c>
      <c r="H466" t="s">
        <v>1390</v>
      </c>
      <c r="I466" t="s">
        <v>1392</v>
      </c>
      <c r="J466" t="s">
        <v>1397</v>
      </c>
      <c r="K466" t="s">
        <v>1521</v>
      </c>
      <c r="L466">
        <v>646.72</v>
      </c>
      <c r="M466">
        <v>8</v>
      </c>
      <c r="N466">
        <v>0</v>
      </c>
      <c r="O466">
        <v>16.96</v>
      </c>
      <c r="P466">
        <v>80.84</v>
      </c>
      <c r="Q466">
        <f>Table1_2[[#This Row],[Ship Date]]-Table1_2[[#This Row],[order date]]</f>
        <v>9</v>
      </c>
      <c r="R466" s="3">
        <f>Table1_2[[#This Row],[Profit]]/Table1_2[[#This Row],[Sales]]</f>
        <v>2.6224641266699655E-2</v>
      </c>
    </row>
    <row r="467" spans="1:18" hidden="1" x14ac:dyDescent="0.3">
      <c r="A467" t="s">
        <v>480</v>
      </c>
      <c r="B467" s="2"/>
      <c r="C467" s="2">
        <v>44868</v>
      </c>
      <c r="D467" t="s">
        <v>1359</v>
      </c>
      <c r="E467" t="s">
        <v>1376</v>
      </c>
      <c r="F467" t="s">
        <v>1704</v>
      </c>
      <c r="G467" t="s">
        <v>1386</v>
      </c>
      <c r="H467" t="s">
        <v>1390</v>
      </c>
      <c r="I467" t="s">
        <v>1393</v>
      </c>
      <c r="J467" t="s">
        <v>1400</v>
      </c>
      <c r="K467" t="s">
        <v>1678</v>
      </c>
      <c r="L467">
        <v>38.799999999999997</v>
      </c>
      <c r="M467">
        <v>5</v>
      </c>
      <c r="N467">
        <v>0.1</v>
      </c>
      <c r="O467">
        <v>5.88</v>
      </c>
      <c r="P467">
        <v>7.76</v>
      </c>
      <c r="Q467">
        <f>Table1_2[[#This Row],[Ship Date]]-Table1_2[[#This Row],[order date]]</f>
        <v>44868</v>
      </c>
      <c r="R467">
        <f>Table1_2[[#This Row],[Profit]]/Table1_2[[#This Row],[Sales]]</f>
        <v>0.15154639175257734</v>
      </c>
    </row>
    <row r="468" spans="1:18" hidden="1" x14ac:dyDescent="0.3">
      <c r="A468" t="s">
        <v>481</v>
      </c>
      <c r="B468" s="2"/>
      <c r="C468" s="2">
        <v>44980</v>
      </c>
      <c r="D468" t="s">
        <v>1362</v>
      </c>
      <c r="E468" t="s">
        <v>1375</v>
      </c>
      <c r="F468" t="s">
        <v>1379</v>
      </c>
      <c r="G468" t="s">
        <v>1385</v>
      </c>
      <c r="H468" t="s">
        <v>1391</v>
      </c>
      <c r="I468" t="s">
        <v>1394</v>
      </c>
      <c r="J468" t="s">
        <v>1398</v>
      </c>
      <c r="K468" t="s">
        <v>1470</v>
      </c>
      <c r="L468">
        <v>567.87</v>
      </c>
      <c r="M468">
        <v>1</v>
      </c>
      <c r="N468">
        <v>0</v>
      </c>
      <c r="O468">
        <v>-4.29</v>
      </c>
      <c r="P468">
        <v>567.87</v>
      </c>
      <c r="Q468">
        <f>Table1_2[[#This Row],[Ship Date]]-Table1_2[[#This Row],[order date]]</f>
        <v>44980</v>
      </c>
      <c r="R468">
        <f>Table1_2[[#This Row],[Profit]]/Table1_2[[#This Row],[Sales]]</f>
        <v>-7.5545459348090229E-3</v>
      </c>
    </row>
    <row r="469" spans="1:18" hidden="1" x14ac:dyDescent="0.3">
      <c r="A469" t="s">
        <v>482</v>
      </c>
      <c r="B469" s="2"/>
      <c r="C469" s="2">
        <v>45198</v>
      </c>
      <c r="D469" t="s">
        <v>1361</v>
      </c>
      <c r="E469" t="s">
        <v>1374</v>
      </c>
      <c r="F469" t="s">
        <v>1379</v>
      </c>
      <c r="G469" t="s">
        <v>1381</v>
      </c>
      <c r="H469" t="s">
        <v>1388</v>
      </c>
      <c r="I469" t="s">
        <v>1393</v>
      </c>
      <c r="J469" t="s">
        <v>1400</v>
      </c>
      <c r="K469" t="s">
        <v>1647</v>
      </c>
      <c r="L469">
        <v>949.48</v>
      </c>
      <c r="M469">
        <v>2</v>
      </c>
      <c r="N469">
        <v>0</v>
      </c>
      <c r="O469">
        <v>228.28</v>
      </c>
      <c r="P469">
        <v>474.74</v>
      </c>
      <c r="Q469">
        <f>Table1_2[[#This Row],[Ship Date]]-Table1_2[[#This Row],[order date]]</f>
        <v>45198</v>
      </c>
      <c r="R469">
        <f>Table1_2[[#This Row],[Profit]]/Table1_2[[#This Row],[Sales]]</f>
        <v>0.24042633862745924</v>
      </c>
    </row>
    <row r="470" spans="1:18" hidden="1" x14ac:dyDescent="0.3">
      <c r="A470" t="s">
        <v>483</v>
      </c>
      <c r="B470" s="2">
        <v>45200</v>
      </c>
      <c r="C470" s="2">
        <v>44944</v>
      </c>
      <c r="D470" t="s">
        <v>1363</v>
      </c>
      <c r="E470" t="s">
        <v>1376</v>
      </c>
      <c r="F470" t="s">
        <v>1704</v>
      </c>
      <c r="G470" t="s">
        <v>1383</v>
      </c>
      <c r="H470" t="s">
        <v>1388</v>
      </c>
      <c r="I470" t="s">
        <v>1393</v>
      </c>
      <c r="J470" t="s">
        <v>1400</v>
      </c>
      <c r="K470" t="s">
        <v>1690</v>
      </c>
      <c r="L470">
        <v>451.37</v>
      </c>
      <c r="M470">
        <v>3</v>
      </c>
      <c r="N470">
        <v>0</v>
      </c>
      <c r="O470">
        <v>68.81</v>
      </c>
      <c r="P470">
        <v>150.45670000000001</v>
      </c>
      <c r="Q470">
        <f>Table1_2[[#This Row],[Ship Date]]-Table1_2[[#This Row],[order date]]</f>
        <v>-256</v>
      </c>
      <c r="R470">
        <f>Table1_2[[#This Row],[Profit]]/Table1_2[[#This Row],[Sales]]</f>
        <v>0.15244699470500919</v>
      </c>
    </row>
    <row r="471" spans="1:18" x14ac:dyDescent="0.3">
      <c r="A471" t="s">
        <v>484</v>
      </c>
      <c r="B471" s="2">
        <v>45051</v>
      </c>
      <c r="C471" s="2">
        <v>45061</v>
      </c>
      <c r="D471" t="s">
        <v>1364</v>
      </c>
      <c r="E471" t="s">
        <v>1376</v>
      </c>
      <c r="F471" t="s">
        <v>1379</v>
      </c>
      <c r="G471" t="s">
        <v>1381</v>
      </c>
      <c r="H471" t="s">
        <v>1388</v>
      </c>
      <c r="I471" t="s">
        <v>1393</v>
      </c>
      <c r="J471" t="s">
        <v>1400</v>
      </c>
      <c r="K471" t="s">
        <v>1445</v>
      </c>
      <c r="L471">
        <v>908.74</v>
      </c>
      <c r="M471">
        <v>4</v>
      </c>
      <c r="N471">
        <v>0.15</v>
      </c>
      <c r="O471">
        <v>-21.49</v>
      </c>
      <c r="P471">
        <v>227.185</v>
      </c>
      <c r="Q471">
        <f>Table1_2[[#This Row],[Ship Date]]-Table1_2[[#This Row],[order date]]</f>
        <v>10</v>
      </c>
      <c r="R471" s="3">
        <f>Table1_2[[#This Row],[Profit]]/Table1_2[[#This Row],[Sales]]</f>
        <v>-2.3648128177476503E-2</v>
      </c>
    </row>
    <row r="472" spans="1:18" hidden="1" x14ac:dyDescent="0.3">
      <c r="A472" t="s">
        <v>485</v>
      </c>
      <c r="B472" s="2"/>
      <c r="C472" s="2">
        <v>44923</v>
      </c>
      <c r="D472" t="s">
        <v>1360</v>
      </c>
      <c r="E472" t="s">
        <v>1376</v>
      </c>
      <c r="F472" t="s">
        <v>1379</v>
      </c>
      <c r="G472" t="s">
        <v>1386</v>
      </c>
      <c r="H472" t="s">
        <v>1388</v>
      </c>
      <c r="I472" t="s">
        <v>1394</v>
      </c>
      <c r="J472" t="s">
        <v>1398</v>
      </c>
      <c r="K472" t="s">
        <v>1691</v>
      </c>
      <c r="L472">
        <v>641.49</v>
      </c>
      <c r="M472">
        <v>2</v>
      </c>
      <c r="N472">
        <v>0.2</v>
      </c>
      <c r="O472">
        <v>99.37</v>
      </c>
      <c r="P472">
        <v>320.745</v>
      </c>
      <c r="Q472">
        <f>Table1_2[[#This Row],[Ship Date]]-Table1_2[[#This Row],[order date]]</f>
        <v>44923</v>
      </c>
      <c r="R472">
        <f>Table1_2[[#This Row],[Profit]]/Table1_2[[#This Row],[Sales]]</f>
        <v>0.15490498682754214</v>
      </c>
    </row>
    <row r="473" spans="1:18" x14ac:dyDescent="0.3">
      <c r="A473" t="s">
        <v>486</v>
      </c>
      <c r="B473" s="2">
        <v>45030</v>
      </c>
      <c r="C473" s="2">
        <v>45032</v>
      </c>
      <c r="D473" t="s">
        <v>1361</v>
      </c>
      <c r="E473" t="s">
        <v>1375</v>
      </c>
      <c r="F473" t="s">
        <v>1704</v>
      </c>
      <c r="G473" t="s">
        <v>1387</v>
      </c>
      <c r="H473" t="s">
        <v>1390</v>
      </c>
      <c r="I473" t="s">
        <v>1392</v>
      </c>
      <c r="J473" t="s">
        <v>1397</v>
      </c>
      <c r="K473" t="s">
        <v>1488</v>
      </c>
      <c r="L473">
        <v>1079.58</v>
      </c>
      <c r="M473">
        <v>5</v>
      </c>
      <c r="N473">
        <v>0</v>
      </c>
      <c r="O473">
        <v>-156.88</v>
      </c>
      <c r="P473">
        <v>215.916</v>
      </c>
      <c r="Q473">
        <f>Table1_2[[#This Row],[Ship Date]]-Table1_2[[#This Row],[order date]]</f>
        <v>2</v>
      </c>
      <c r="R473" s="3">
        <f>Table1_2[[#This Row],[Profit]]/Table1_2[[#This Row],[Sales]]</f>
        <v>-0.14531577094796125</v>
      </c>
    </row>
    <row r="474" spans="1:18" x14ac:dyDescent="0.3">
      <c r="A474" t="s">
        <v>487</v>
      </c>
      <c r="B474" s="2">
        <v>45204</v>
      </c>
      <c r="C474" s="2">
        <v>45205</v>
      </c>
      <c r="D474" t="s">
        <v>1365</v>
      </c>
      <c r="E474" t="s">
        <v>1374</v>
      </c>
      <c r="F474" t="s">
        <v>1379</v>
      </c>
      <c r="G474" t="s">
        <v>1384</v>
      </c>
      <c r="H474" t="s">
        <v>1390</v>
      </c>
      <c r="I474" t="s">
        <v>1394</v>
      </c>
      <c r="J474" t="s">
        <v>1403</v>
      </c>
      <c r="K474" t="s">
        <v>1692</v>
      </c>
      <c r="L474">
        <v>1164.0999999999999</v>
      </c>
      <c r="M474">
        <v>9</v>
      </c>
      <c r="N474">
        <v>0.1</v>
      </c>
      <c r="O474">
        <v>43.02</v>
      </c>
      <c r="P474">
        <v>129.34440000000001</v>
      </c>
      <c r="Q474">
        <f>Table1_2[[#This Row],[Ship Date]]-Table1_2[[#This Row],[order date]]</f>
        <v>1</v>
      </c>
      <c r="R474" s="3">
        <f>Table1_2[[#This Row],[Profit]]/Table1_2[[#This Row],[Sales]]</f>
        <v>3.6955588007903106E-2</v>
      </c>
    </row>
    <row r="475" spans="1:18" x14ac:dyDescent="0.3">
      <c r="A475" t="s">
        <v>488</v>
      </c>
      <c r="B475" s="2">
        <v>44584</v>
      </c>
      <c r="C475" s="2">
        <v>44588</v>
      </c>
      <c r="D475" t="s">
        <v>1365</v>
      </c>
      <c r="E475" t="s">
        <v>1374</v>
      </c>
      <c r="F475" t="s">
        <v>1704</v>
      </c>
      <c r="G475" t="s">
        <v>1385</v>
      </c>
      <c r="H475" t="s">
        <v>1391</v>
      </c>
      <c r="I475" t="s">
        <v>1393</v>
      </c>
      <c r="J475" t="s">
        <v>1396</v>
      </c>
      <c r="K475" t="s">
        <v>1596</v>
      </c>
      <c r="L475">
        <v>416.34</v>
      </c>
      <c r="M475">
        <v>10</v>
      </c>
      <c r="N475">
        <v>0.15</v>
      </c>
      <c r="O475">
        <v>53.24</v>
      </c>
      <c r="P475">
        <v>41.634</v>
      </c>
      <c r="Q475">
        <f>Table1_2[[#This Row],[Ship Date]]-Table1_2[[#This Row],[order date]]</f>
        <v>4</v>
      </c>
      <c r="R475" s="3">
        <f>Table1_2[[#This Row],[Profit]]/Table1_2[[#This Row],[Sales]]</f>
        <v>0.12787625498390739</v>
      </c>
    </row>
    <row r="476" spans="1:18" x14ac:dyDescent="0.3">
      <c r="A476" t="s">
        <v>489</v>
      </c>
      <c r="B476" s="2">
        <v>44697</v>
      </c>
      <c r="C476" s="2">
        <v>44702</v>
      </c>
      <c r="D476" t="s">
        <v>1368</v>
      </c>
      <c r="E476" t="s">
        <v>1376</v>
      </c>
      <c r="F476" t="s">
        <v>1704</v>
      </c>
      <c r="G476" t="s">
        <v>1387</v>
      </c>
      <c r="H476" t="s">
        <v>1390</v>
      </c>
      <c r="I476" t="s">
        <v>1392</v>
      </c>
      <c r="J476" t="s">
        <v>1397</v>
      </c>
      <c r="K476" t="s">
        <v>1508</v>
      </c>
      <c r="L476">
        <v>287.60000000000002</v>
      </c>
      <c r="M476">
        <v>6</v>
      </c>
      <c r="N476">
        <v>0.15</v>
      </c>
      <c r="O476">
        <v>53.17</v>
      </c>
      <c r="P476">
        <v>47.933300000000003</v>
      </c>
      <c r="Q476">
        <f>Table1_2[[#This Row],[Ship Date]]-Table1_2[[#This Row],[order date]]</f>
        <v>5</v>
      </c>
      <c r="R476" s="3">
        <f>Table1_2[[#This Row],[Profit]]/Table1_2[[#This Row],[Sales]]</f>
        <v>0.18487482614742698</v>
      </c>
    </row>
    <row r="477" spans="1:18" x14ac:dyDescent="0.3">
      <c r="A477" t="s">
        <v>490</v>
      </c>
      <c r="B477" s="2">
        <v>45110</v>
      </c>
      <c r="C477" s="2">
        <v>45115</v>
      </c>
      <c r="D477" t="s">
        <v>1362</v>
      </c>
      <c r="E477" t="s">
        <v>1375</v>
      </c>
      <c r="F477" t="s">
        <v>1704</v>
      </c>
      <c r="G477" t="s">
        <v>1384</v>
      </c>
      <c r="H477" t="s">
        <v>1391</v>
      </c>
      <c r="I477" t="s">
        <v>1392</v>
      </c>
      <c r="J477" t="s">
        <v>1401</v>
      </c>
      <c r="K477" t="s">
        <v>1693</v>
      </c>
      <c r="L477">
        <v>1010.41</v>
      </c>
      <c r="M477">
        <v>3</v>
      </c>
      <c r="N477">
        <v>0.1</v>
      </c>
      <c r="O477">
        <v>-81.89</v>
      </c>
      <c r="P477">
        <v>336.80329999999998</v>
      </c>
      <c r="Q477">
        <f>Table1_2[[#This Row],[Ship Date]]-Table1_2[[#This Row],[order date]]</f>
        <v>5</v>
      </c>
      <c r="R477" s="3">
        <f>Table1_2[[#This Row],[Profit]]/Table1_2[[#This Row],[Sales]]</f>
        <v>-8.1046307934402873E-2</v>
      </c>
    </row>
    <row r="478" spans="1:18" hidden="1" x14ac:dyDescent="0.3">
      <c r="A478" t="s">
        <v>491</v>
      </c>
      <c r="B478" s="2"/>
      <c r="C478" s="2">
        <v>44781</v>
      </c>
      <c r="D478" t="s">
        <v>1370</v>
      </c>
      <c r="E478" t="s">
        <v>1376</v>
      </c>
      <c r="F478" t="s">
        <v>1379</v>
      </c>
      <c r="G478" t="s">
        <v>1381</v>
      </c>
      <c r="H478" t="s">
        <v>1389</v>
      </c>
      <c r="I478" t="s">
        <v>1393</v>
      </c>
      <c r="J478" t="s">
        <v>1400</v>
      </c>
      <c r="K478" t="s">
        <v>1694</v>
      </c>
      <c r="L478">
        <v>805.35</v>
      </c>
      <c r="M478">
        <v>6</v>
      </c>
      <c r="N478">
        <v>0.1</v>
      </c>
      <c r="O478">
        <v>-10.91</v>
      </c>
      <c r="P478">
        <v>134.22499999999999</v>
      </c>
      <c r="Q478">
        <f>Table1_2[[#This Row],[Ship Date]]-Table1_2[[#This Row],[order date]]</f>
        <v>44781</v>
      </c>
      <c r="R478">
        <f>Table1_2[[#This Row],[Profit]]/Table1_2[[#This Row],[Sales]]</f>
        <v>-1.3546905072328801E-2</v>
      </c>
    </row>
    <row r="479" spans="1:18" hidden="1" x14ac:dyDescent="0.3">
      <c r="A479" t="s">
        <v>492</v>
      </c>
      <c r="B479" s="2"/>
      <c r="C479" s="2">
        <v>45351</v>
      </c>
      <c r="D479" t="s">
        <v>1372</v>
      </c>
      <c r="E479" t="s">
        <v>1376</v>
      </c>
      <c r="F479" t="s">
        <v>1704</v>
      </c>
      <c r="G479" t="s">
        <v>1386</v>
      </c>
      <c r="H479" t="s">
        <v>1389</v>
      </c>
      <c r="I479" t="s">
        <v>1394</v>
      </c>
      <c r="J479" t="s">
        <v>1403</v>
      </c>
      <c r="K479" t="s">
        <v>1438</v>
      </c>
      <c r="L479">
        <v>204.14</v>
      </c>
      <c r="M479">
        <v>9</v>
      </c>
      <c r="N479">
        <v>0</v>
      </c>
      <c r="O479">
        <v>-7.01</v>
      </c>
      <c r="P479">
        <v>22.682200000000002</v>
      </c>
      <c r="Q479">
        <f>Table1_2[[#This Row],[Ship Date]]-Table1_2[[#This Row],[order date]]</f>
        <v>45351</v>
      </c>
      <c r="R479">
        <f>Table1_2[[#This Row],[Profit]]/Table1_2[[#This Row],[Sales]]</f>
        <v>-3.4339178994807484E-2</v>
      </c>
    </row>
    <row r="480" spans="1:18" x14ac:dyDescent="0.3">
      <c r="A480" t="s">
        <v>493</v>
      </c>
      <c r="B480" s="2">
        <v>45267</v>
      </c>
      <c r="C480" s="2">
        <v>45269</v>
      </c>
      <c r="D480" t="s">
        <v>1365</v>
      </c>
      <c r="E480" t="s">
        <v>1375</v>
      </c>
      <c r="F480" t="s">
        <v>1704</v>
      </c>
      <c r="G480" t="s">
        <v>1384</v>
      </c>
      <c r="H480" t="s">
        <v>1388</v>
      </c>
      <c r="I480" t="s">
        <v>1393</v>
      </c>
      <c r="J480" t="s">
        <v>1399</v>
      </c>
      <c r="K480" t="s">
        <v>1695</v>
      </c>
      <c r="L480">
        <v>1082.21</v>
      </c>
      <c r="M480">
        <v>3</v>
      </c>
      <c r="N480">
        <v>0</v>
      </c>
      <c r="O480">
        <v>-153.19999999999999</v>
      </c>
      <c r="P480">
        <v>360.73669999999998</v>
      </c>
      <c r="Q480">
        <f>Table1_2[[#This Row],[Ship Date]]-Table1_2[[#This Row],[order date]]</f>
        <v>2</v>
      </c>
      <c r="R480" s="3">
        <f>Table1_2[[#This Row],[Profit]]/Table1_2[[#This Row],[Sales]]</f>
        <v>-0.14156217370011365</v>
      </c>
    </row>
    <row r="481" spans="1:18" x14ac:dyDescent="0.3">
      <c r="A481" t="s">
        <v>494</v>
      </c>
      <c r="B481" s="2">
        <v>44618</v>
      </c>
      <c r="C481" s="2">
        <v>44628</v>
      </c>
      <c r="D481" t="s">
        <v>1360</v>
      </c>
      <c r="E481" t="s">
        <v>1374</v>
      </c>
      <c r="F481" t="s">
        <v>1379</v>
      </c>
      <c r="G481" t="s">
        <v>1383</v>
      </c>
      <c r="H481" t="s">
        <v>1389</v>
      </c>
      <c r="I481" t="s">
        <v>1393</v>
      </c>
      <c r="J481" t="s">
        <v>1400</v>
      </c>
      <c r="K481" t="s">
        <v>1696</v>
      </c>
      <c r="L481">
        <v>708.45</v>
      </c>
      <c r="M481">
        <v>4</v>
      </c>
      <c r="N481">
        <v>0.15</v>
      </c>
      <c r="O481">
        <v>-72.36</v>
      </c>
      <c r="P481">
        <v>177.11250000000001</v>
      </c>
      <c r="Q481">
        <f>Table1_2[[#This Row],[Ship Date]]-Table1_2[[#This Row],[order date]]</f>
        <v>10</v>
      </c>
      <c r="R481" s="3">
        <f>Table1_2[[#This Row],[Profit]]/Table1_2[[#This Row],[Sales]]</f>
        <v>-0.10213847131060766</v>
      </c>
    </row>
    <row r="482" spans="1:18" hidden="1" x14ac:dyDescent="0.3">
      <c r="A482" t="s">
        <v>495</v>
      </c>
      <c r="B482" s="2"/>
      <c r="C482" s="2">
        <v>45070</v>
      </c>
      <c r="D482" t="s">
        <v>1373</v>
      </c>
      <c r="E482" t="s">
        <v>1376</v>
      </c>
      <c r="F482" t="s">
        <v>1379</v>
      </c>
      <c r="G482" t="s">
        <v>1381</v>
      </c>
      <c r="H482" t="s">
        <v>1391</v>
      </c>
      <c r="I482" t="s">
        <v>1393</v>
      </c>
      <c r="J482" t="s">
        <v>1396</v>
      </c>
      <c r="K482" t="s">
        <v>1563</v>
      </c>
      <c r="L482">
        <v>623.64</v>
      </c>
      <c r="M482">
        <v>1</v>
      </c>
      <c r="N482">
        <v>0.15</v>
      </c>
      <c r="O482">
        <v>-0.76</v>
      </c>
      <c r="P482">
        <v>623.64</v>
      </c>
      <c r="Q482">
        <f>Table1_2[[#This Row],[Ship Date]]-Table1_2[[#This Row],[order date]]</f>
        <v>45070</v>
      </c>
      <c r="R482">
        <f>Table1_2[[#This Row],[Profit]]/Table1_2[[#This Row],[Sales]]</f>
        <v>-1.2186517862869605E-3</v>
      </c>
    </row>
    <row r="483" spans="1:18" x14ac:dyDescent="0.3">
      <c r="A483" t="s">
        <v>496</v>
      </c>
      <c r="B483" s="2">
        <v>44921</v>
      </c>
      <c r="C483" s="2">
        <v>44926</v>
      </c>
      <c r="D483" t="s">
        <v>1370</v>
      </c>
      <c r="E483" t="s">
        <v>1376</v>
      </c>
      <c r="F483" t="s">
        <v>1704</v>
      </c>
      <c r="G483" t="s">
        <v>1387</v>
      </c>
      <c r="H483" t="s">
        <v>1388</v>
      </c>
      <c r="I483" t="s">
        <v>1394</v>
      </c>
      <c r="J483" t="s">
        <v>1398</v>
      </c>
      <c r="K483" t="s">
        <v>1590</v>
      </c>
      <c r="L483">
        <v>123.37</v>
      </c>
      <c r="M483">
        <v>8</v>
      </c>
      <c r="N483">
        <v>0.2</v>
      </c>
      <c r="O483">
        <v>24.9</v>
      </c>
      <c r="P483">
        <v>15.4213</v>
      </c>
      <c r="Q483">
        <f>Table1_2[[#This Row],[Ship Date]]-Table1_2[[#This Row],[order date]]</f>
        <v>5</v>
      </c>
      <c r="R483" s="3">
        <f>Table1_2[[#This Row],[Profit]]/Table1_2[[#This Row],[Sales]]</f>
        <v>0.20183188781713543</v>
      </c>
    </row>
    <row r="484" spans="1:18" x14ac:dyDescent="0.3">
      <c r="A484" t="s">
        <v>497</v>
      </c>
      <c r="B484" s="2">
        <v>44774</v>
      </c>
      <c r="C484" s="2">
        <v>44779</v>
      </c>
      <c r="D484" t="s">
        <v>1366</v>
      </c>
      <c r="E484" t="s">
        <v>1374</v>
      </c>
      <c r="F484" t="s">
        <v>1379</v>
      </c>
      <c r="G484" t="s">
        <v>1385</v>
      </c>
      <c r="H484" t="s">
        <v>1390</v>
      </c>
      <c r="I484" t="s">
        <v>1394</v>
      </c>
      <c r="J484" t="s">
        <v>1398</v>
      </c>
      <c r="K484" t="s">
        <v>1697</v>
      </c>
      <c r="L484">
        <v>1184.23</v>
      </c>
      <c r="M484">
        <v>2</v>
      </c>
      <c r="N484">
        <v>0</v>
      </c>
      <c r="O484">
        <v>210.86</v>
      </c>
      <c r="P484">
        <v>592.11500000000001</v>
      </c>
      <c r="Q484">
        <f>Table1_2[[#This Row],[Ship Date]]-Table1_2[[#This Row],[order date]]</f>
        <v>5</v>
      </c>
      <c r="R484" s="3">
        <f>Table1_2[[#This Row],[Profit]]/Table1_2[[#This Row],[Sales]]</f>
        <v>0.17805662751323645</v>
      </c>
    </row>
    <row r="485" spans="1:18" x14ac:dyDescent="0.3">
      <c r="A485" t="s">
        <v>498</v>
      </c>
      <c r="B485" s="2">
        <v>45035</v>
      </c>
      <c r="C485" s="2">
        <v>45045</v>
      </c>
      <c r="D485" t="s">
        <v>1362</v>
      </c>
      <c r="E485" t="s">
        <v>1376</v>
      </c>
      <c r="F485" t="s">
        <v>1704</v>
      </c>
      <c r="G485" t="s">
        <v>1383</v>
      </c>
      <c r="H485" t="s">
        <v>1389</v>
      </c>
      <c r="I485" t="s">
        <v>1392</v>
      </c>
      <c r="J485" t="s">
        <v>1401</v>
      </c>
      <c r="K485" t="s">
        <v>1698</v>
      </c>
      <c r="L485">
        <v>239.49</v>
      </c>
      <c r="M485">
        <v>7</v>
      </c>
      <c r="N485">
        <v>0.15</v>
      </c>
      <c r="O485">
        <v>18.420000000000002</v>
      </c>
      <c r="P485">
        <v>34.212899999999998</v>
      </c>
      <c r="Q485">
        <f>Table1_2[[#This Row],[Ship Date]]-Table1_2[[#This Row],[order date]]</f>
        <v>10</v>
      </c>
      <c r="R485" s="3">
        <f>Table1_2[[#This Row],[Profit]]/Table1_2[[#This Row],[Sales]]</f>
        <v>7.6913441062257296E-2</v>
      </c>
    </row>
    <row r="486" spans="1:18" x14ac:dyDescent="0.3">
      <c r="A486" t="s">
        <v>499</v>
      </c>
      <c r="B486" s="2">
        <v>44589</v>
      </c>
      <c r="C486" s="2">
        <v>44590</v>
      </c>
      <c r="D486" t="s">
        <v>1367</v>
      </c>
      <c r="E486" t="s">
        <v>1376</v>
      </c>
      <c r="F486" t="s">
        <v>1704</v>
      </c>
      <c r="G486" t="s">
        <v>1381</v>
      </c>
      <c r="H486" t="s">
        <v>1388</v>
      </c>
      <c r="I486" t="s">
        <v>1392</v>
      </c>
      <c r="J486" t="s">
        <v>1397</v>
      </c>
      <c r="K486" t="s">
        <v>1460</v>
      </c>
      <c r="L486">
        <v>374.2</v>
      </c>
      <c r="M486">
        <v>8</v>
      </c>
      <c r="N486">
        <v>0</v>
      </c>
      <c r="O486">
        <v>47.49</v>
      </c>
      <c r="P486">
        <v>46.774999999999999</v>
      </c>
      <c r="Q486">
        <f>Table1_2[[#This Row],[Ship Date]]-Table1_2[[#This Row],[order date]]</f>
        <v>1</v>
      </c>
      <c r="R486" s="3">
        <f>Table1_2[[#This Row],[Profit]]/Table1_2[[#This Row],[Sales]]</f>
        <v>0.12691074291822554</v>
      </c>
    </row>
    <row r="487" spans="1:18" x14ac:dyDescent="0.3">
      <c r="A487" t="s">
        <v>500</v>
      </c>
      <c r="B487" s="2">
        <v>44845</v>
      </c>
      <c r="C487" s="2">
        <v>44853</v>
      </c>
      <c r="D487" t="s">
        <v>1365</v>
      </c>
      <c r="E487" t="s">
        <v>1375</v>
      </c>
      <c r="F487" t="s">
        <v>1379</v>
      </c>
      <c r="G487" t="s">
        <v>1383</v>
      </c>
      <c r="H487" t="s">
        <v>1388</v>
      </c>
      <c r="I487" t="s">
        <v>1392</v>
      </c>
      <c r="J487" t="s">
        <v>1395</v>
      </c>
      <c r="K487" t="s">
        <v>1660</v>
      </c>
      <c r="L487">
        <v>899.77</v>
      </c>
      <c r="M487">
        <v>10</v>
      </c>
      <c r="N487">
        <v>0.2</v>
      </c>
      <c r="O487">
        <v>74.489999999999995</v>
      </c>
      <c r="P487">
        <v>89.977000000000004</v>
      </c>
      <c r="Q487">
        <f>Table1_2[[#This Row],[Ship Date]]-Table1_2[[#This Row],[order date]]</f>
        <v>8</v>
      </c>
      <c r="R487" s="3">
        <f>Table1_2[[#This Row],[Profit]]/Table1_2[[#This Row],[Sales]]</f>
        <v>8.2787823554908477E-2</v>
      </c>
    </row>
    <row r="488" spans="1:18" x14ac:dyDescent="0.3">
      <c r="A488" t="s">
        <v>501</v>
      </c>
      <c r="B488" s="2">
        <v>44728</v>
      </c>
      <c r="C488" s="2">
        <v>44738</v>
      </c>
      <c r="D488" t="s">
        <v>1372</v>
      </c>
      <c r="E488" t="s">
        <v>1374</v>
      </c>
      <c r="F488" t="s">
        <v>1379</v>
      </c>
      <c r="G488" t="s">
        <v>1381</v>
      </c>
      <c r="H488" t="s">
        <v>1391</v>
      </c>
      <c r="I488" t="s">
        <v>1392</v>
      </c>
      <c r="J488" t="s">
        <v>1401</v>
      </c>
      <c r="K488" t="s">
        <v>1699</v>
      </c>
      <c r="L488">
        <v>397.22</v>
      </c>
      <c r="M488">
        <v>3</v>
      </c>
      <c r="N488">
        <v>0.15</v>
      </c>
      <c r="O488">
        <v>-47.01</v>
      </c>
      <c r="P488">
        <v>132.4067</v>
      </c>
      <c r="Q488">
        <f>Table1_2[[#This Row],[Ship Date]]-Table1_2[[#This Row],[order date]]</f>
        <v>10</v>
      </c>
      <c r="R488" s="3">
        <f>Table1_2[[#This Row],[Profit]]/Table1_2[[#This Row],[Sales]]</f>
        <v>-0.11834751523085442</v>
      </c>
    </row>
    <row r="489" spans="1:18" x14ac:dyDescent="0.3">
      <c r="A489" t="s">
        <v>502</v>
      </c>
      <c r="B489" s="2">
        <v>45104</v>
      </c>
      <c r="C489" s="2">
        <v>45106</v>
      </c>
      <c r="D489" t="s">
        <v>1360</v>
      </c>
      <c r="E489" t="s">
        <v>1376</v>
      </c>
      <c r="F489" t="s">
        <v>1379</v>
      </c>
      <c r="G489" t="s">
        <v>1384</v>
      </c>
      <c r="H489" t="s">
        <v>1391</v>
      </c>
      <c r="I489" t="s">
        <v>1393</v>
      </c>
      <c r="J489" t="s">
        <v>1400</v>
      </c>
      <c r="K489" t="s">
        <v>1700</v>
      </c>
      <c r="L489">
        <v>924.4</v>
      </c>
      <c r="M489">
        <v>3</v>
      </c>
      <c r="N489">
        <v>0</v>
      </c>
      <c r="O489">
        <v>91.87</v>
      </c>
      <c r="P489">
        <v>308.13330000000002</v>
      </c>
      <c r="Q489">
        <f>Table1_2[[#This Row],[Ship Date]]-Table1_2[[#This Row],[order date]]</f>
        <v>2</v>
      </c>
      <c r="R489" s="3">
        <f>Table1_2[[#This Row],[Profit]]/Table1_2[[#This Row],[Sales]]</f>
        <v>9.9383383816529655E-2</v>
      </c>
    </row>
    <row r="490" spans="1:18" x14ac:dyDescent="0.3">
      <c r="A490" t="s">
        <v>503</v>
      </c>
      <c r="B490" s="2">
        <v>45109</v>
      </c>
      <c r="C490" s="2">
        <v>45119</v>
      </c>
      <c r="D490" t="s">
        <v>1373</v>
      </c>
      <c r="E490" t="s">
        <v>1375</v>
      </c>
      <c r="F490" t="s">
        <v>1379</v>
      </c>
      <c r="G490" t="s">
        <v>1387</v>
      </c>
      <c r="H490" t="s">
        <v>1390</v>
      </c>
      <c r="I490" t="s">
        <v>1394</v>
      </c>
      <c r="J490" t="s">
        <v>1402</v>
      </c>
      <c r="K490" t="s">
        <v>1426</v>
      </c>
      <c r="L490">
        <v>35.22</v>
      </c>
      <c r="M490">
        <v>9</v>
      </c>
      <c r="N490">
        <v>0.15</v>
      </c>
      <c r="O490">
        <v>-0.48</v>
      </c>
      <c r="P490">
        <v>3.9133</v>
      </c>
      <c r="Q490">
        <f>Table1_2[[#This Row],[Ship Date]]-Table1_2[[#This Row],[order date]]</f>
        <v>10</v>
      </c>
      <c r="R490" s="3">
        <f>Table1_2[[#This Row],[Profit]]/Table1_2[[#This Row],[Sales]]</f>
        <v>-1.3628620102214651E-2</v>
      </c>
    </row>
    <row r="491" spans="1:18" hidden="1" x14ac:dyDescent="0.3">
      <c r="A491" t="s">
        <v>504</v>
      </c>
      <c r="B491" s="2"/>
      <c r="C491" s="2">
        <v>44792</v>
      </c>
      <c r="D491" t="s">
        <v>1366</v>
      </c>
      <c r="E491" t="s">
        <v>1376</v>
      </c>
      <c r="F491" t="s">
        <v>1379</v>
      </c>
      <c r="G491" t="s">
        <v>1381</v>
      </c>
      <c r="H491" t="s">
        <v>1390</v>
      </c>
      <c r="I491" t="s">
        <v>1393</v>
      </c>
      <c r="J491" t="s">
        <v>1396</v>
      </c>
      <c r="K491" t="s">
        <v>1587</v>
      </c>
      <c r="L491">
        <v>833.79</v>
      </c>
      <c r="M491">
        <v>9</v>
      </c>
      <c r="N491">
        <v>0</v>
      </c>
      <c r="O491">
        <v>130.30000000000001</v>
      </c>
      <c r="P491">
        <v>92.643299999999996</v>
      </c>
      <c r="Q491">
        <f>Table1_2[[#This Row],[Ship Date]]-Table1_2[[#This Row],[order date]]</f>
        <v>44792</v>
      </c>
      <c r="R491">
        <f>Table1_2[[#This Row],[Profit]]/Table1_2[[#This Row],[Sales]]</f>
        <v>0.15627436164981592</v>
      </c>
    </row>
    <row r="492" spans="1:18" x14ac:dyDescent="0.3">
      <c r="A492" t="s">
        <v>505</v>
      </c>
      <c r="B492" s="2">
        <v>45053</v>
      </c>
      <c r="C492" s="2">
        <v>45059</v>
      </c>
      <c r="D492" t="s">
        <v>1370</v>
      </c>
      <c r="E492" t="s">
        <v>1376</v>
      </c>
      <c r="F492" t="s">
        <v>1379</v>
      </c>
      <c r="G492" t="s">
        <v>1382</v>
      </c>
      <c r="H492" t="s">
        <v>1388</v>
      </c>
      <c r="I492" t="s">
        <v>1394</v>
      </c>
      <c r="J492" t="s">
        <v>1398</v>
      </c>
      <c r="K492" t="s">
        <v>1627</v>
      </c>
      <c r="L492">
        <v>447.83</v>
      </c>
      <c r="M492">
        <v>8</v>
      </c>
      <c r="N492">
        <v>0</v>
      </c>
      <c r="O492">
        <v>27.57</v>
      </c>
      <c r="P492">
        <v>55.978700000000003</v>
      </c>
      <c r="Q492">
        <f>Table1_2[[#This Row],[Ship Date]]-Table1_2[[#This Row],[order date]]</f>
        <v>6</v>
      </c>
      <c r="R492" s="3">
        <f>Table1_2[[#This Row],[Profit]]/Table1_2[[#This Row],[Sales]]</f>
        <v>6.156353973606056E-2</v>
      </c>
    </row>
    <row r="493" spans="1:18" x14ac:dyDescent="0.3">
      <c r="A493" t="s">
        <v>506</v>
      </c>
      <c r="B493" s="2">
        <v>44693</v>
      </c>
      <c r="C493" s="2">
        <v>44696</v>
      </c>
      <c r="D493" t="s">
        <v>1369</v>
      </c>
      <c r="E493" t="s">
        <v>1375</v>
      </c>
      <c r="F493" t="s">
        <v>1704</v>
      </c>
      <c r="G493" t="s">
        <v>1386</v>
      </c>
      <c r="H493" t="s">
        <v>1389</v>
      </c>
      <c r="I493" t="s">
        <v>1393</v>
      </c>
      <c r="J493" t="s">
        <v>1400</v>
      </c>
      <c r="K493" t="s">
        <v>1503</v>
      </c>
      <c r="L493">
        <v>382.77</v>
      </c>
      <c r="M493">
        <v>4</v>
      </c>
      <c r="N493">
        <v>0.1</v>
      </c>
      <c r="O493">
        <v>111.22</v>
      </c>
      <c r="P493">
        <v>95.692499999999995</v>
      </c>
      <c r="Q493">
        <f>Table1_2[[#This Row],[Ship Date]]-Table1_2[[#This Row],[order date]]</f>
        <v>3</v>
      </c>
      <c r="R493" s="3">
        <f>Table1_2[[#This Row],[Profit]]/Table1_2[[#This Row],[Sales]]</f>
        <v>0.29056613632207334</v>
      </c>
    </row>
    <row r="494" spans="1:18" x14ac:dyDescent="0.3">
      <c r="A494" t="s">
        <v>507</v>
      </c>
      <c r="B494" s="2">
        <v>44763</v>
      </c>
      <c r="C494" s="2">
        <v>44765</v>
      </c>
      <c r="D494" t="s">
        <v>1369</v>
      </c>
      <c r="E494" t="s">
        <v>1376</v>
      </c>
      <c r="F494" t="s">
        <v>1379</v>
      </c>
      <c r="G494" t="s">
        <v>1386</v>
      </c>
      <c r="H494" t="s">
        <v>1388</v>
      </c>
      <c r="I494" t="s">
        <v>1392</v>
      </c>
      <c r="J494" t="s">
        <v>1395</v>
      </c>
      <c r="K494" t="s">
        <v>1701</v>
      </c>
      <c r="L494">
        <v>625.91</v>
      </c>
      <c r="M494">
        <v>1</v>
      </c>
      <c r="N494">
        <v>0.2</v>
      </c>
      <c r="O494">
        <v>-87.96</v>
      </c>
      <c r="P494">
        <v>625.91</v>
      </c>
      <c r="Q494">
        <f>Table1_2[[#This Row],[Ship Date]]-Table1_2[[#This Row],[order date]]</f>
        <v>2</v>
      </c>
      <c r="R494" s="3">
        <f>Table1_2[[#This Row],[Profit]]/Table1_2[[#This Row],[Sales]]</f>
        <v>-0.14053138630154494</v>
      </c>
    </row>
    <row r="495" spans="1:18" x14ac:dyDescent="0.3">
      <c r="A495" t="s">
        <v>508</v>
      </c>
      <c r="B495" s="2">
        <v>45178</v>
      </c>
      <c r="C495" s="2">
        <v>45182</v>
      </c>
      <c r="D495" t="s">
        <v>1362</v>
      </c>
      <c r="E495" t="s">
        <v>1376</v>
      </c>
      <c r="F495" t="s">
        <v>1379</v>
      </c>
      <c r="G495" t="s">
        <v>1387</v>
      </c>
      <c r="H495" t="s">
        <v>1390</v>
      </c>
      <c r="I495" t="s">
        <v>1393</v>
      </c>
      <c r="J495" t="s">
        <v>1400</v>
      </c>
      <c r="K495" t="s">
        <v>1463</v>
      </c>
      <c r="L495">
        <v>238.04</v>
      </c>
      <c r="M495">
        <v>6</v>
      </c>
      <c r="N495">
        <v>0</v>
      </c>
      <c r="O495">
        <v>-36.799999999999997</v>
      </c>
      <c r="P495">
        <v>39.673299999999998</v>
      </c>
      <c r="Q495">
        <f>Table1_2[[#This Row],[Ship Date]]-Table1_2[[#This Row],[order date]]</f>
        <v>4</v>
      </c>
      <c r="R495" s="3">
        <f>Table1_2[[#This Row],[Profit]]/Table1_2[[#This Row],[Sales]]</f>
        <v>-0.15459586624096791</v>
      </c>
    </row>
    <row r="496" spans="1:18" x14ac:dyDescent="0.3">
      <c r="A496" t="s">
        <v>509</v>
      </c>
      <c r="B496" s="2">
        <v>45145</v>
      </c>
      <c r="C496" s="2">
        <v>45147</v>
      </c>
      <c r="D496" t="s">
        <v>1370</v>
      </c>
      <c r="E496" t="s">
        <v>1375</v>
      </c>
      <c r="F496" t="s">
        <v>1379</v>
      </c>
      <c r="G496" t="s">
        <v>1387</v>
      </c>
      <c r="H496" t="s">
        <v>1389</v>
      </c>
      <c r="I496" t="s">
        <v>1392</v>
      </c>
      <c r="J496" t="s">
        <v>1395</v>
      </c>
      <c r="K496" t="s">
        <v>1410</v>
      </c>
      <c r="L496">
        <v>920.63</v>
      </c>
      <c r="M496">
        <v>9</v>
      </c>
      <c r="N496">
        <v>0.1</v>
      </c>
      <c r="O496">
        <v>145.37</v>
      </c>
      <c r="P496">
        <v>102.29219999999999</v>
      </c>
      <c r="Q496">
        <f>Table1_2[[#This Row],[Ship Date]]-Table1_2[[#This Row],[order date]]</f>
        <v>2</v>
      </c>
      <c r="R496" s="3">
        <f>Table1_2[[#This Row],[Profit]]/Table1_2[[#This Row],[Sales]]</f>
        <v>0.15790274051464759</v>
      </c>
    </row>
    <row r="497" spans="1:18" x14ac:dyDescent="0.3">
      <c r="A497" t="s">
        <v>510</v>
      </c>
      <c r="B497" s="2">
        <v>45276</v>
      </c>
      <c r="C497" s="2">
        <v>45286</v>
      </c>
      <c r="D497" t="s">
        <v>1367</v>
      </c>
      <c r="E497" t="s">
        <v>1374</v>
      </c>
      <c r="F497" t="s">
        <v>1704</v>
      </c>
      <c r="G497" t="s">
        <v>1385</v>
      </c>
      <c r="H497" t="s">
        <v>1388</v>
      </c>
      <c r="I497" t="s">
        <v>1392</v>
      </c>
      <c r="J497" t="s">
        <v>1397</v>
      </c>
      <c r="K497" t="s">
        <v>1460</v>
      </c>
      <c r="L497">
        <v>814.76</v>
      </c>
      <c r="M497">
        <v>2</v>
      </c>
      <c r="N497">
        <v>0.1</v>
      </c>
      <c r="O497">
        <v>177.11</v>
      </c>
      <c r="P497">
        <v>407.38</v>
      </c>
      <c r="Q497">
        <f>Table1_2[[#This Row],[Ship Date]]-Table1_2[[#This Row],[order date]]</f>
        <v>10</v>
      </c>
      <c r="R497" s="3">
        <f>Table1_2[[#This Row],[Profit]]/Table1_2[[#This Row],[Sales]]</f>
        <v>0.2173768962639305</v>
      </c>
    </row>
    <row r="498" spans="1:18" hidden="1" x14ac:dyDescent="0.3">
      <c r="A498" t="s">
        <v>511</v>
      </c>
      <c r="B498" s="2"/>
      <c r="C498" s="2">
        <v>44885</v>
      </c>
      <c r="D498" t="s">
        <v>1369</v>
      </c>
      <c r="E498" t="s">
        <v>1376</v>
      </c>
      <c r="F498" t="s">
        <v>1704</v>
      </c>
      <c r="G498" t="s">
        <v>1381</v>
      </c>
      <c r="H498" t="s">
        <v>1389</v>
      </c>
      <c r="I498" t="s">
        <v>1394</v>
      </c>
      <c r="J498" t="s">
        <v>1402</v>
      </c>
      <c r="K498" t="s">
        <v>1529</v>
      </c>
      <c r="L498">
        <v>633.28</v>
      </c>
      <c r="M498">
        <v>8</v>
      </c>
      <c r="N498">
        <v>0.15</v>
      </c>
      <c r="O498">
        <v>96.49</v>
      </c>
      <c r="P498">
        <v>79.16</v>
      </c>
      <c r="Q498">
        <f>Table1_2[[#This Row],[Ship Date]]-Table1_2[[#This Row],[order date]]</f>
        <v>44885</v>
      </c>
      <c r="R498">
        <f>Table1_2[[#This Row],[Profit]]/Table1_2[[#This Row],[Sales]]</f>
        <v>0.15236546235472462</v>
      </c>
    </row>
    <row r="499" spans="1:18" x14ac:dyDescent="0.3">
      <c r="A499" t="s">
        <v>512</v>
      </c>
      <c r="B499" s="2">
        <v>45029</v>
      </c>
      <c r="C499" s="2">
        <v>45039</v>
      </c>
      <c r="D499" t="s">
        <v>1367</v>
      </c>
      <c r="E499" t="s">
        <v>1375</v>
      </c>
      <c r="F499" t="s">
        <v>1704</v>
      </c>
      <c r="G499" t="s">
        <v>1382</v>
      </c>
      <c r="H499" t="s">
        <v>1391</v>
      </c>
      <c r="I499" t="s">
        <v>1393</v>
      </c>
      <c r="J499" t="s">
        <v>1399</v>
      </c>
      <c r="K499" t="s">
        <v>1588</v>
      </c>
      <c r="L499">
        <v>830.71</v>
      </c>
      <c r="M499">
        <v>8</v>
      </c>
      <c r="N499">
        <v>0.1</v>
      </c>
      <c r="O499">
        <v>63.93</v>
      </c>
      <c r="P499">
        <v>103.83880000000001</v>
      </c>
      <c r="Q499">
        <f>Table1_2[[#This Row],[Ship Date]]-Table1_2[[#This Row],[order date]]</f>
        <v>10</v>
      </c>
      <c r="R499" s="3">
        <f>Table1_2[[#This Row],[Profit]]/Table1_2[[#This Row],[Sales]]</f>
        <v>7.6958264617014355E-2</v>
      </c>
    </row>
    <row r="500" spans="1:18" x14ac:dyDescent="0.3">
      <c r="A500" t="s">
        <v>513</v>
      </c>
      <c r="B500" s="2">
        <v>44575</v>
      </c>
      <c r="C500" s="2">
        <v>44583</v>
      </c>
      <c r="D500" t="s">
        <v>1365</v>
      </c>
      <c r="E500" t="s">
        <v>1374</v>
      </c>
      <c r="F500" t="s">
        <v>1379</v>
      </c>
      <c r="G500" t="s">
        <v>1382</v>
      </c>
      <c r="H500" t="s">
        <v>1390</v>
      </c>
      <c r="I500" t="s">
        <v>1393</v>
      </c>
      <c r="J500" t="s">
        <v>1400</v>
      </c>
      <c r="K500" t="s">
        <v>1702</v>
      </c>
      <c r="L500">
        <v>487.72</v>
      </c>
      <c r="M500">
        <v>9</v>
      </c>
      <c r="N500">
        <v>0</v>
      </c>
      <c r="O500">
        <v>-68.47</v>
      </c>
      <c r="P500">
        <v>54.191099999999999</v>
      </c>
      <c r="Q500">
        <f>Table1_2[[#This Row],[Ship Date]]-Table1_2[[#This Row],[order date]]</f>
        <v>8</v>
      </c>
      <c r="R500" s="3">
        <f>Table1_2[[#This Row],[Profit]]/Table1_2[[#This Row],[Sales]]</f>
        <v>-0.14038792749938489</v>
      </c>
    </row>
    <row r="501" spans="1:18" x14ac:dyDescent="0.3">
      <c r="A501" t="s">
        <v>514</v>
      </c>
      <c r="B501" s="2">
        <v>44934</v>
      </c>
      <c r="C501" s="2">
        <v>44938</v>
      </c>
      <c r="D501" t="s">
        <v>1373</v>
      </c>
      <c r="E501" t="s">
        <v>1374</v>
      </c>
      <c r="F501" t="s">
        <v>1379</v>
      </c>
      <c r="G501" t="s">
        <v>1386</v>
      </c>
      <c r="H501" t="s">
        <v>1389</v>
      </c>
      <c r="I501" t="s">
        <v>1394</v>
      </c>
      <c r="J501" t="s">
        <v>1402</v>
      </c>
      <c r="K501" t="s">
        <v>1449</v>
      </c>
      <c r="L501">
        <v>722.05</v>
      </c>
      <c r="M501">
        <v>7</v>
      </c>
      <c r="N501">
        <v>0</v>
      </c>
      <c r="O501">
        <v>-60.34</v>
      </c>
      <c r="P501">
        <v>103.15</v>
      </c>
      <c r="Q501">
        <f>Table1_2[[#This Row],[Ship Date]]-Table1_2[[#This Row],[order date]]</f>
        <v>4</v>
      </c>
      <c r="R501" s="3">
        <f>Table1_2[[#This Row],[Profit]]/Table1_2[[#This Row],[Sales]]</f>
        <v>-8.3567619970916149E-2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E25D-68A2-426C-A24B-0948D8FA9E65}">
  <dimension ref="A1:Q501"/>
  <sheetViews>
    <sheetView workbookViewId="0">
      <selection activeCell="A3" sqref="A2:Q501"/>
    </sheetView>
  </sheetViews>
  <sheetFormatPr defaultRowHeight="14.4" x14ac:dyDescent="0.3"/>
  <cols>
    <col min="1" max="1" width="10.21875" bestFit="1" customWidth="1"/>
    <col min="2" max="2" width="10.21875" style="2" customWidth="1"/>
    <col min="3" max="3" width="12.33203125" bestFit="1" customWidth="1"/>
    <col min="4" max="4" width="11.21875" bestFit="1" customWidth="1"/>
    <col min="5" max="5" width="16.88671875" bestFit="1" customWidth="1"/>
    <col min="6" max="6" width="11.33203125" bestFit="1" customWidth="1"/>
    <col min="7" max="7" width="12.33203125" bestFit="1" customWidth="1"/>
    <col min="8" max="8" width="10.44140625" bestFit="1" customWidth="1"/>
    <col min="9" max="9" width="9" bestFit="1" customWidth="1"/>
    <col min="10" max="10" width="13.109375" bestFit="1" customWidth="1"/>
    <col min="11" max="11" width="14.6640625" bestFit="1" customWidth="1"/>
    <col min="12" max="12" width="18.77734375" bestFit="1" customWidth="1"/>
    <col min="13" max="13" width="9.44140625" bestFit="1" customWidth="1"/>
    <col min="14" max="14" width="10.5546875" bestFit="1" customWidth="1"/>
    <col min="15" max="15" width="10.5546875" style="3" bestFit="1" customWidth="1"/>
    <col min="16" max="16" width="8.6640625" style="3" bestFit="1" customWidth="1"/>
  </cols>
  <sheetData>
    <row r="1" spans="1:17" x14ac:dyDescent="0.3">
      <c r="A1" t="s">
        <v>0</v>
      </c>
      <c r="B1" s="2" t="s">
        <v>2000</v>
      </c>
      <c r="C1" t="s">
        <v>1999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3" t="s">
        <v>13</v>
      </c>
      <c r="P1" s="3" t="s">
        <v>14</v>
      </c>
      <c r="Q1" t="s">
        <v>1998</v>
      </c>
    </row>
    <row r="2" spans="1:17" hidden="1" x14ac:dyDescent="0.3">
      <c r="A2" t="s">
        <v>15</v>
      </c>
      <c r="B2" s="2" t="e">
        <f t="shared" ref="B2:B65" si="0">DATEVALUE(C2)</f>
        <v>#VALUE!</v>
      </c>
      <c r="C2" t="s">
        <v>1703</v>
      </c>
      <c r="D2" s="2">
        <v>45218</v>
      </c>
      <c r="E2" t="s">
        <v>1359</v>
      </c>
      <c r="F2" t="s">
        <v>1374</v>
      </c>
      <c r="G2" t="s">
        <v>1704</v>
      </c>
      <c r="H2" t="s">
        <v>1381</v>
      </c>
      <c r="I2" t="s">
        <v>1388</v>
      </c>
      <c r="J2" t="s">
        <v>1392</v>
      </c>
      <c r="K2" t="s">
        <v>1395</v>
      </c>
      <c r="L2" t="s">
        <v>1404</v>
      </c>
      <c r="M2" s="3">
        <v>344.53</v>
      </c>
      <c r="N2">
        <v>4</v>
      </c>
      <c r="O2" s="3">
        <v>0.1</v>
      </c>
      <c r="P2" s="3">
        <v>57.96</v>
      </c>
      <c r="Q2" s="3">
        <f>Table1_1[[#This Row],[Sales]]/Table1_1[[#This Row],[Quantity]]</f>
        <v>86.132499999999993</v>
      </c>
    </row>
    <row r="3" spans="1:17" x14ac:dyDescent="0.3">
      <c r="A3" t="s">
        <v>16</v>
      </c>
      <c r="B3" s="2">
        <f t="shared" si="0"/>
        <v>44785</v>
      </c>
      <c r="C3" t="s">
        <v>516</v>
      </c>
      <c r="D3" s="2">
        <v>44789</v>
      </c>
      <c r="E3" t="s">
        <v>1360</v>
      </c>
      <c r="F3" t="s">
        <v>1375</v>
      </c>
      <c r="G3" t="s">
        <v>1704</v>
      </c>
      <c r="H3" t="s">
        <v>1382</v>
      </c>
      <c r="I3" t="s">
        <v>1389</v>
      </c>
      <c r="J3" t="s">
        <v>1393</v>
      </c>
      <c r="K3" t="s">
        <v>1396</v>
      </c>
      <c r="L3" t="s">
        <v>1405</v>
      </c>
      <c r="M3" s="3">
        <v>51.31</v>
      </c>
      <c r="N3">
        <v>4</v>
      </c>
      <c r="O3" s="3">
        <v>0</v>
      </c>
      <c r="P3" s="3">
        <v>0.5</v>
      </c>
      <c r="Q3" s="3">
        <f>Table1_1[[#This Row],[Sales]]/Table1_1[[#This Row],[Quantity]]</f>
        <v>12.827500000000001</v>
      </c>
    </row>
    <row r="4" spans="1:17" x14ac:dyDescent="0.3">
      <c r="A4" t="s">
        <v>17</v>
      </c>
      <c r="B4" s="2">
        <f t="shared" si="0"/>
        <v>44846</v>
      </c>
      <c r="C4" t="s">
        <v>517</v>
      </c>
      <c r="D4" s="2">
        <v>44849</v>
      </c>
      <c r="E4" t="s">
        <v>1360</v>
      </c>
      <c r="F4" t="s">
        <v>1375</v>
      </c>
      <c r="G4" t="s">
        <v>1704</v>
      </c>
      <c r="H4" t="s">
        <v>1383</v>
      </c>
      <c r="I4" t="s">
        <v>1388</v>
      </c>
      <c r="J4" t="s">
        <v>1392</v>
      </c>
      <c r="K4" t="s">
        <v>1397</v>
      </c>
      <c r="L4" t="s">
        <v>1406</v>
      </c>
      <c r="M4" s="3">
        <v>140.61000000000001</v>
      </c>
      <c r="N4">
        <v>7</v>
      </c>
      <c r="O4" s="3">
        <v>0</v>
      </c>
      <c r="P4" s="3">
        <v>-2.88</v>
      </c>
      <c r="Q4" s="3">
        <f>Table1_1[[#This Row],[Sales]]/Table1_1[[#This Row],[Quantity]]</f>
        <v>20.087142857142858</v>
      </c>
    </row>
    <row r="5" spans="1:17" x14ac:dyDescent="0.3">
      <c r="A5" t="s">
        <v>18</v>
      </c>
      <c r="B5" s="2">
        <f t="shared" si="0"/>
        <v>44642</v>
      </c>
      <c r="C5" t="s">
        <v>1705</v>
      </c>
      <c r="D5" s="2">
        <v>44651</v>
      </c>
      <c r="E5" t="s">
        <v>1361</v>
      </c>
      <c r="F5" t="s">
        <v>1375</v>
      </c>
      <c r="G5" t="s">
        <v>1379</v>
      </c>
      <c r="H5" t="s">
        <v>1381</v>
      </c>
      <c r="I5" t="s">
        <v>1390</v>
      </c>
      <c r="J5" t="s">
        <v>1394</v>
      </c>
      <c r="K5" t="s">
        <v>1398</v>
      </c>
      <c r="L5" t="s">
        <v>1407</v>
      </c>
      <c r="M5" s="3">
        <v>749.85</v>
      </c>
      <c r="N5">
        <v>6</v>
      </c>
      <c r="O5" s="3">
        <v>0</v>
      </c>
      <c r="P5" s="3">
        <v>-77.88</v>
      </c>
      <c r="Q5" s="3">
        <f>Table1_1[[#This Row],[Sales]]/Table1_1[[#This Row],[Quantity]]</f>
        <v>124.97500000000001</v>
      </c>
    </row>
    <row r="6" spans="1:17" hidden="1" x14ac:dyDescent="0.3">
      <c r="A6" t="s">
        <v>19</v>
      </c>
      <c r="B6" s="2" t="e">
        <f t="shared" si="0"/>
        <v>#VALUE!</v>
      </c>
      <c r="C6" t="s">
        <v>1706</v>
      </c>
      <c r="D6" s="2">
        <v>44956</v>
      </c>
      <c r="E6" t="s">
        <v>1362</v>
      </c>
      <c r="F6" t="s">
        <v>1374</v>
      </c>
      <c r="G6" t="s">
        <v>1379</v>
      </c>
      <c r="H6" t="s">
        <v>1383</v>
      </c>
      <c r="I6" t="s">
        <v>1390</v>
      </c>
      <c r="J6" t="s">
        <v>1394</v>
      </c>
      <c r="K6" t="s">
        <v>1398</v>
      </c>
      <c r="L6" t="s">
        <v>1408</v>
      </c>
      <c r="M6" s="3">
        <v>1004.25</v>
      </c>
      <c r="N6">
        <v>3</v>
      </c>
      <c r="O6" s="3">
        <v>0.15</v>
      </c>
      <c r="P6" s="3">
        <v>-22.46</v>
      </c>
      <c r="Q6" s="3">
        <f>Table1_1[[#This Row],[Sales]]/Table1_1[[#This Row],[Quantity]]</f>
        <v>334.75</v>
      </c>
    </row>
    <row r="7" spans="1:17" x14ac:dyDescent="0.3">
      <c r="A7" t="s">
        <v>20</v>
      </c>
      <c r="B7" s="2">
        <f t="shared" si="0"/>
        <v>45308</v>
      </c>
      <c r="C7" t="s">
        <v>1707</v>
      </c>
      <c r="D7" s="2">
        <v>45312</v>
      </c>
      <c r="E7" t="s">
        <v>1363</v>
      </c>
      <c r="F7" t="s">
        <v>1376</v>
      </c>
      <c r="G7" t="s">
        <v>1704</v>
      </c>
      <c r="H7" t="s">
        <v>1384</v>
      </c>
      <c r="I7" t="s">
        <v>1388</v>
      </c>
      <c r="J7" t="s">
        <v>1392</v>
      </c>
      <c r="K7" t="s">
        <v>1397</v>
      </c>
      <c r="L7" t="s">
        <v>1409</v>
      </c>
      <c r="M7" s="3">
        <v>467.76</v>
      </c>
      <c r="N7">
        <v>9</v>
      </c>
      <c r="O7" s="3">
        <v>0.1</v>
      </c>
      <c r="P7" s="3">
        <v>66.569999999999993</v>
      </c>
      <c r="Q7" s="3">
        <f>Table1_1[[#This Row],[Sales]]/Table1_1[[#This Row],[Quantity]]</f>
        <v>51.973333333333329</v>
      </c>
    </row>
    <row r="8" spans="1:17" x14ac:dyDescent="0.3">
      <c r="A8" t="s">
        <v>21</v>
      </c>
      <c r="B8" s="2">
        <f t="shared" si="0"/>
        <v>45142</v>
      </c>
      <c r="C8" t="s">
        <v>1708</v>
      </c>
      <c r="D8" s="2">
        <v>45148</v>
      </c>
      <c r="E8" t="s">
        <v>1364</v>
      </c>
      <c r="F8" t="s">
        <v>1376</v>
      </c>
      <c r="G8" t="s">
        <v>1704</v>
      </c>
      <c r="H8" t="s">
        <v>1383</v>
      </c>
      <c r="I8" t="s">
        <v>1389</v>
      </c>
      <c r="J8" t="s">
        <v>1392</v>
      </c>
      <c r="K8" t="s">
        <v>1395</v>
      </c>
      <c r="L8" t="s">
        <v>1410</v>
      </c>
      <c r="M8" s="3">
        <v>609.09</v>
      </c>
      <c r="N8">
        <v>8</v>
      </c>
      <c r="O8" s="3">
        <v>0.1</v>
      </c>
      <c r="P8" s="3">
        <v>-41.15</v>
      </c>
      <c r="Q8" s="3">
        <f>Table1_1[[#This Row],[Sales]]/Table1_1[[#This Row],[Quantity]]</f>
        <v>76.136250000000004</v>
      </c>
    </row>
    <row r="9" spans="1:17" x14ac:dyDescent="0.3">
      <c r="A9" t="s">
        <v>22</v>
      </c>
      <c r="B9" s="2">
        <f t="shared" si="0"/>
        <v>44786</v>
      </c>
      <c r="C9" t="s">
        <v>1709</v>
      </c>
      <c r="D9" s="2">
        <v>44789</v>
      </c>
      <c r="E9" t="s">
        <v>1365</v>
      </c>
      <c r="F9" t="s">
        <v>1375</v>
      </c>
      <c r="G9" t="s">
        <v>1704</v>
      </c>
      <c r="H9" t="s">
        <v>1385</v>
      </c>
      <c r="I9" t="s">
        <v>1389</v>
      </c>
      <c r="J9" t="s">
        <v>1393</v>
      </c>
      <c r="K9" t="s">
        <v>1399</v>
      </c>
      <c r="L9" t="s">
        <v>1411</v>
      </c>
      <c r="M9" s="3">
        <v>127.27</v>
      </c>
      <c r="N9">
        <v>1</v>
      </c>
      <c r="O9" s="3">
        <v>0</v>
      </c>
      <c r="P9" s="3">
        <v>-15.73</v>
      </c>
      <c r="Q9" s="3">
        <f>Table1_1[[#This Row],[Sales]]/Table1_1[[#This Row],[Quantity]]</f>
        <v>127.27</v>
      </c>
    </row>
    <row r="10" spans="1:17" x14ac:dyDescent="0.3">
      <c r="A10" t="s">
        <v>23</v>
      </c>
      <c r="B10" s="2">
        <f t="shared" si="0"/>
        <v>44819</v>
      </c>
      <c r="C10" t="s">
        <v>523</v>
      </c>
      <c r="D10" s="2">
        <v>44828</v>
      </c>
      <c r="E10" t="s">
        <v>1366</v>
      </c>
      <c r="F10" t="s">
        <v>1376</v>
      </c>
      <c r="G10" t="s">
        <v>1704</v>
      </c>
      <c r="H10" t="s">
        <v>1385</v>
      </c>
      <c r="I10" t="s">
        <v>1388</v>
      </c>
      <c r="J10" t="s">
        <v>1392</v>
      </c>
      <c r="K10" t="s">
        <v>1395</v>
      </c>
      <c r="L10" t="s">
        <v>1412</v>
      </c>
      <c r="M10" s="3">
        <v>870.45</v>
      </c>
      <c r="N10">
        <v>9</v>
      </c>
      <c r="O10" s="3">
        <v>0.15</v>
      </c>
      <c r="P10" s="3">
        <v>160.41999999999999</v>
      </c>
      <c r="Q10" s="3">
        <f>Table1_1[[#This Row],[Sales]]/Table1_1[[#This Row],[Quantity]]</f>
        <v>96.716666666666669</v>
      </c>
    </row>
    <row r="11" spans="1:17" hidden="1" x14ac:dyDescent="0.3">
      <c r="A11" t="s">
        <v>24</v>
      </c>
      <c r="B11" s="2" t="e">
        <f t="shared" si="0"/>
        <v>#VALUE!</v>
      </c>
      <c r="C11" t="s">
        <v>1710</v>
      </c>
      <c r="D11" s="2">
        <v>45463</v>
      </c>
      <c r="E11" t="s">
        <v>1359</v>
      </c>
      <c r="F11" t="s">
        <v>1375</v>
      </c>
      <c r="G11" t="s">
        <v>1379</v>
      </c>
      <c r="H11" t="s">
        <v>1386</v>
      </c>
      <c r="I11" t="s">
        <v>1390</v>
      </c>
      <c r="J11" t="s">
        <v>1393</v>
      </c>
      <c r="K11" t="s">
        <v>1400</v>
      </c>
      <c r="L11" t="s">
        <v>1413</v>
      </c>
      <c r="M11" s="3">
        <v>619.05999999999995</v>
      </c>
      <c r="N11">
        <v>2</v>
      </c>
      <c r="O11" s="3">
        <v>0.15</v>
      </c>
      <c r="P11" s="3">
        <v>136.71</v>
      </c>
      <c r="Q11" s="3">
        <f>Table1_1[[#This Row],[Sales]]/Table1_1[[#This Row],[Quantity]]</f>
        <v>309.52999999999997</v>
      </c>
    </row>
    <row r="12" spans="1:17" x14ac:dyDescent="0.3">
      <c r="A12" t="s">
        <v>25</v>
      </c>
      <c r="B12" s="2">
        <f t="shared" si="0"/>
        <v>45359</v>
      </c>
      <c r="C12" t="s">
        <v>525</v>
      </c>
      <c r="D12" s="2">
        <v>45368</v>
      </c>
      <c r="E12" t="s">
        <v>1363</v>
      </c>
      <c r="F12" t="s">
        <v>1375</v>
      </c>
      <c r="G12" t="s">
        <v>1379</v>
      </c>
      <c r="H12" t="s">
        <v>1381</v>
      </c>
      <c r="I12" t="s">
        <v>1389</v>
      </c>
      <c r="J12" t="s">
        <v>1392</v>
      </c>
      <c r="K12" t="s">
        <v>1395</v>
      </c>
      <c r="L12" t="s">
        <v>1414</v>
      </c>
      <c r="M12" s="3">
        <v>402.5</v>
      </c>
      <c r="N12">
        <v>1</v>
      </c>
      <c r="O12" s="3">
        <v>0</v>
      </c>
      <c r="P12" s="3">
        <v>106.48</v>
      </c>
      <c r="Q12" s="3">
        <f>Table1_1[[#This Row],[Sales]]/Table1_1[[#This Row],[Quantity]]</f>
        <v>402.5</v>
      </c>
    </row>
    <row r="13" spans="1:17" hidden="1" x14ac:dyDescent="0.3">
      <c r="A13" t="s">
        <v>26</v>
      </c>
      <c r="B13" s="2" t="e">
        <f t="shared" si="0"/>
        <v>#VALUE!</v>
      </c>
      <c r="C13" t="s">
        <v>1711</v>
      </c>
      <c r="D13" s="2">
        <v>45349</v>
      </c>
      <c r="E13" t="s">
        <v>1367</v>
      </c>
      <c r="F13" t="s">
        <v>1374</v>
      </c>
      <c r="G13" t="s">
        <v>1704</v>
      </c>
      <c r="H13" t="s">
        <v>1382</v>
      </c>
      <c r="I13" t="s">
        <v>1391</v>
      </c>
      <c r="J13" t="s">
        <v>1392</v>
      </c>
      <c r="K13" t="s">
        <v>1401</v>
      </c>
      <c r="L13" t="s">
        <v>1415</v>
      </c>
      <c r="M13" s="3">
        <v>798.51</v>
      </c>
      <c r="N13">
        <v>9</v>
      </c>
      <c r="O13" s="3">
        <v>0.1</v>
      </c>
      <c r="P13" s="3">
        <v>-53.88</v>
      </c>
      <c r="Q13" s="3">
        <f>Table1_1[[#This Row],[Sales]]/Table1_1[[#This Row],[Quantity]]</f>
        <v>88.723333333333329</v>
      </c>
    </row>
    <row r="14" spans="1:17" x14ac:dyDescent="0.3">
      <c r="A14" t="s">
        <v>27</v>
      </c>
      <c r="B14" s="2">
        <f t="shared" si="0"/>
        <v>45249</v>
      </c>
      <c r="C14" t="s">
        <v>1712</v>
      </c>
      <c r="D14" s="2">
        <v>45255</v>
      </c>
      <c r="E14" t="s">
        <v>1364</v>
      </c>
      <c r="F14" t="s">
        <v>1375</v>
      </c>
      <c r="G14" t="s">
        <v>1704</v>
      </c>
      <c r="H14" t="s">
        <v>1381</v>
      </c>
      <c r="I14" t="s">
        <v>1388</v>
      </c>
      <c r="J14" t="s">
        <v>1394</v>
      </c>
      <c r="K14" t="s">
        <v>1398</v>
      </c>
      <c r="L14" t="s">
        <v>1416</v>
      </c>
      <c r="M14" s="3">
        <v>552.75</v>
      </c>
      <c r="N14">
        <v>4</v>
      </c>
      <c r="O14" s="3">
        <v>0.1</v>
      </c>
      <c r="P14" s="3">
        <v>-92.85</v>
      </c>
      <c r="Q14" s="3">
        <f>Table1_1[[#This Row],[Sales]]/Table1_1[[#This Row],[Quantity]]</f>
        <v>138.1875</v>
      </c>
    </row>
    <row r="15" spans="1:17" x14ac:dyDescent="0.3">
      <c r="A15" t="s">
        <v>28</v>
      </c>
      <c r="B15" s="2">
        <f t="shared" si="0"/>
        <v>45208</v>
      </c>
      <c r="C15" t="s">
        <v>528</v>
      </c>
      <c r="D15" s="2">
        <v>45209</v>
      </c>
      <c r="E15" t="s">
        <v>1367</v>
      </c>
      <c r="F15" t="s">
        <v>1374</v>
      </c>
      <c r="G15" t="s">
        <v>1704</v>
      </c>
      <c r="H15" t="s">
        <v>1382</v>
      </c>
      <c r="I15" t="s">
        <v>1389</v>
      </c>
      <c r="J15" t="s">
        <v>1392</v>
      </c>
      <c r="K15" t="s">
        <v>1401</v>
      </c>
      <c r="L15" t="s">
        <v>1417</v>
      </c>
      <c r="M15" s="3">
        <v>1088.4000000000001</v>
      </c>
      <c r="N15">
        <v>6</v>
      </c>
      <c r="O15" s="3">
        <v>0</v>
      </c>
      <c r="P15" s="3">
        <v>62.12</v>
      </c>
      <c r="Q15" s="3">
        <f>Table1_1[[#This Row],[Sales]]/Table1_1[[#This Row],[Quantity]]</f>
        <v>181.4</v>
      </c>
    </row>
    <row r="16" spans="1:17" x14ac:dyDescent="0.3">
      <c r="A16" t="s">
        <v>29</v>
      </c>
      <c r="B16" s="2">
        <f t="shared" si="0"/>
        <v>45365</v>
      </c>
      <c r="C16" t="s">
        <v>529</v>
      </c>
      <c r="D16" s="2">
        <v>45373</v>
      </c>
      <c r="E16" t="s">
        <v>1361</v>
      </c>
      <c r="F16" t="s">
        <v>1374</v>
      </c>
      <c r="G16" t="s">
        <v>1379</v>
      </c>
      <c r="H16" t="s">
        <v>1381</v>
      </c>
      <c r="I16" t="s">
        <v>1389</v>
      </c>
      <c r="J16" t="s">
        <v>1394</v>
      </c>
      <c r="K16" t="s">
        <v>1402</v>
      </c>
      <c r="L16" t="s">
        <v>1418</v>
      </c>
      <c r="M16" s="3">
        <v>131.30000000000001</v>
      </c>
      <c r="N16">
        <v>7</v>
      </c>
      <c r="O16" s="3">
        <v>0.15</v>
      </c>
      <c r="P16" s="3">
        <v>1.55</v>
      </c>
      <c r="Q16" s="3">
        <f>Table1_1[[#This Row],[Sales]]/Table1_1[[#This Row],[Quantity]]</f>
        <v>18.75714285714286</v>
      </c>
    </row>
    <row r="17" spans="1:17" x14ac:dyDescent="0.3">
      <c r="A17" t="s">
        <v>30</v>
      </c>
      <c r="B17" s="2">
        <f t="shared" si="0"/>
        <v>44909</v>
      </c>
      <c r="C17" t="s">
        <v>530</v>
      </c>
      <c r="D17" s="2">
        <v>44911</v>
      </c>
      <c r="E17" t="s">
        <v>1367</v>
      </c>
      <c r="F17" t="s">
        <v>1375</v>
      </c>
      <c r="G17" t="s">
        <v>1704</v>
      </c>
      <c r="H17" t="s">
        <v>1386</v>
      </c>
      <c r="I17" t="s">
        <v>1388</v>
      </c>
      <c r="J17" t="s">
        <v>1392</v>
      </c>
      <c r="K17" t="s">
        <v>1401</v>
      </c>
      <c r="L17" t="s">
        <v>1419</v>
      </c>
      <c r="M17" s="3">
        <v>244.45</v>
      </c>
      <c r="N17">
        <v>8</v>
      </c>
      <c r="O17" s="3">
        <v>0.1</v>
      </c>
      <c r="P17" s="3">
        <v>2.67</v>
      </c>
      <c r="Q17" s="3">
        <f>Table1_1[[#This Row],[Sales]]/Table1_1[[#This Row],[Quantity]]</f>
        <v>30.556249999999999</v>
      </c>
    </row>
    <row r="18" spans="1:17" x14ac:dyDescent="0.3">
      <c r="A18" t="s">
        <v>31</v>
      </c>
      <c r="B18" s="2">
        <f t="shared" si="0"/>
        <v>45229</v>
      </c>
      <c r="C18" t="s">
        <v>531</v>
      </c>
      <c r="D18" s="2">
        <v>45238</v>
      </c>
      <c r="E18" t="s">
        <v>1368</v>
      </c>
      <c r="F18" t="s">
        <v>1375</v>
      </c>
      <c r="G18" t="s">
        <v>1704</v>
      </c>
      <c r="H18" t="s">
        <v>1385</v>
      </c>
      <c r="I18" t="s">
        <v>1388</v>
      </c>
      <c r="J18" t="s">
        <v>1392</v>
      </c>
      <c r="K18" t="s">
        <v>1401</v>
      </c>
      <c r="L18" t="s">
        <v>1420</v>
      </c>
      <c r="M18" s="3">
        <v>1113.1099999999999</v>
      </c>
      <c r="N18">
        <v>4</v>
      </c>
      <c r="O18" s="3">
        <v>0.1</v>
      </c>
      <c r="P18" s="3">
        <v>3.57</v>
      </c>
      <c r="Q18" s="3">
        <f>Table1_1[[#This Row],[Sales]]/Table1_1[[#This Row],[Quantity]]</f>
        <v>278.27749999999997</v>
      </c>
    </row>
    <row r="19" spans="1:17" x14ac:dyDescent="0.3">
      <c r="A19" t="s">
        <v>32</v>
      </c>
      <c r="B19" s="2">
        <f t="shared" si="0"/>
        <v>44833</v>
      </c>
      <c r="C19" t="s">
        <v>532</v>
      </c>
      <c r="D19" s="2">
        <v>44841</v>
      </c>
      <c r="E19" t="s">
        <v>1363</v>
      </c>
      <c r="F19" t="s">
        <v>1374</v>
      </c>
      <c r="G19" t="s">
        <v>1379</v>
      </c>
      <c r="H19" t="s">
        <v>1382</v>
      </c>
      <c r="I19" t="s">
        <v>1391</v>
      </c>
      <c r="J19" t="s">
        <v>1394</v>
      </c>
      <c r="K19" t="s">
        <v>1403</v>
      </c>
      <c r="L19" t="s">
        <v>1421</v>
      </c>
      <c r="M19" s="3">
        <v>841.98</v>
      </c>
      <c r="N19">
        <v>9</v>
      </c>
      <c r="O19" s="3">
        <v>0.2</v>
      </c>
      <c r="P19" s="3">
        <v>-103.23</v>
      </c>
      <c r="Q19" s="3">
        <f>Table1_1[[#This Row],[Sales]]/Table1_1[[#This Row],[Quantity]]</f>
        <v>93.553333333333342</v>
      </c>
    </row>
    <row r="20" spans="1:17" hidden="1" x14ac:dyDescent="0.3">
      <c r="A20" t="s">
        <v>33</v>
      </c>
      <c r="B20" s="2" t="e">
        <f t="shared" si="0"/>
        <v>#VALUE!</v>
      </c>
      <c r="C20" t="s">
        <v>1713</v>
      </c>
      <c r="D20" s="2">
        <v>44623</v>
      </c>
      <c r="E20" t="s">
        <v>1369</v>
      </c>
      <c r="F20" t="s">
        <v>1375</v>
      </c>
      <c r="G20" t="s">
        <v>1379</v>
      </c>
      <c r="H20" t="s">
        <v>1382</v>
      </c>
      <c r="I20" t="s">
        <v>1390</v>
      </c>
      <c r="J20" t="s">
        <v>1394</v>
      </c>
      <c r="K20" t="s">
        <v>1398</v>
      </c>
      <c r="L20" t="s">
        <v>1422</v>
      </c>
      <c r="M20" s="3">
        <v>1104.8800000000001</v>
      </c>
      <c r="N20">
        <v>9</v>
      </c>
      <c r="O20" s="3">
        <v>0.1</v>
      </c>
      <c r="P20" s="3">
        <v>-189.55</v>
      </c>
      <c r="Q20" s="3">
        <f>Table1_1[[#This Row],[Sales]]/Table1_1[[#This Row],[Quantity]]</f>
        <v>122.76444444444445</v>
      </c>
    </row>
    <row r="21" spans="1:17" x14ac:dyDescent="0.3">
      <c r="A21" t="s">
        <v>34</v>
      </c>
      <c r="B21" s="2">
        <f t="shared" si="0"/>
        <v>44625</v>
      </c>
      <c r="C21" t="s">
        <v>1714</v>
      </c>
      <c r="D21" s="2">
        <v>44694</v>
      </c>
      <c r="E21" t="s">
        <v>1364</v>
      </c>
      <c r="F21" t="s">
        <v>1376</v>
      </c>
      <c r="G21" t="s">
        <v>1379</v>
      </c>
      <c r="H21" t="s">
        <v>1387</v>
      </c>
      <c r="I21" t="s">
        <v>1391</v>
      </c>
      <c r="J21" t="s">
        <v>1392</v>
      </c>
      <c r="K21" t="s">
        <v>1395</v>
      </c>
      <c r="L21" t="s">
        <v>1423</v>
      </c>
      <c r="M21" s="3">
        <v>721.53</v>
      </c>
      <c r="N21">
        <v>10</v>
      </c>
      <c r="O21" s="3">
        <v>0</v>
      </c>
      <c r="P21" s="3">
        <v>6.94</v>
      </c>
      <c r="Q21" s="3">
        <f>Table1_1[[#This Row],[Sales]]/Table1_1[[#This Row],[Quantity]]</f>
        <v>72.152999999999992</v>
      </c>
    </row>
    <row r="22" spans="1:17" x14ac:dyDescent="0.3">
      <c r="A22" t="s">
        <v>35</v>
      </c>
      <c r="B22" s="2">
        <f t="shared" si="0"/>
        <v>44833</v>
      </c>
      <c r="C22" t="s">
        <v>1715</v>
      </c>
      <c r="D22" s="2">
        <v>44840</v>
      </c>
      <c r="E22" t="s">
        <v>1366</v>
      </c>
      <c r="F22" t="s">
        <v>1374</v>
      </c>
      <c r="G22" t="s">
        <v>1379</v>
      </c>
      <c r="H22" t="s">
        <v>1381</v>
      </c>
      <c r="I22" t="s">
        <v>1390</v>
      </c>
      <c r="J22" t="s">
        <v>1392</v>
      </c>
      <c r="K22" t="s">
        <v>1395</v>
      </c>
      <c r="L22" t="s">
        <v>1424</v>
      </c>
      <c r="M22" s="3">
        <v>781.69</v>
      </c>
      <c r="N22">
        <v>8</v>
      </c>
      <c r="O22" s="3">
        <v>0.15</v>
      </c>
      <c r="P22" s="3">
        <v>206.76</v>
      </c>
      <c r="Q22" s="3">
        <f>Table1_1[[#This Row],[Sales]]/Table1_1[[#This Row],[Quantity]]</f>
        <v>97.711250000000007</v>
      </c>
    </row>
    <row r="23" spans="1:17" hidden="1" x14ac:dyDescent="0.3">
      <c r="A23" t="s">
        <v>36</v>
      </c>
      <c r="B23" s="2" t="e">
        <f t="shared" si="0"/>
        <v>#VALUE!</v>
      </c>
      <c r="C23" t="s">
        <v>1716</v>
      </c>
      <c r="D23" s="2">
        <v>44836</v>
      </c>
      <c r="E23" t="s">
        <v>1362</v>
      </c>
      <c r="F23" t="s">
        <v>1374</v>
      </c>
      <c r="G23" t="s">
        <v>1379</v>
      </c>
      <c r="H23" t="s">
        <v>1382</v>
      </c>
      <c r="I23" t="s">
        <v>1391</v>
      </c>
      <c r="J23" t="s">
        <v>1394</v>
      </c>
      <c r="K23" t="s">
        <v>1402</v>
      </c>
      <c r="L23" t="s">
        <v>1425</v>
      </c>
      <c r="M23" s="3">
        <v>1057.54</v>
      </c>
      <c r="N23">
        <v>6</v>
      </c>
      <c r="O23" s="3">
        <v>0.15</v>
      </c>
      <c r="P23" s="3">
        <v>-128.1</v>
      </c>
      <c r="Q23" s="3">
        <f>Table1_1[[#This Row],[Sales]]/Table1_1[[#This Row],[Quantity]]</f>
        <v>176.25666666666666</v>
      </c>
    </row>
    <row r="24" spans="1:17" hidden="1" x14ac:dyDescent="0.3">
      <c r="A24" t="s">
        <v>37</v>
      </c>
      <c r="B24" s="2" t="e">
        <f t="shared" si="0"/>
        <v>#VALUE!</v>
      </c>
      <c r="C24" t="s">
        <v>1717</v>
      </c>
      <c r="D24" s="2">
        <v>44671</v>
      </c>
      <c r="E24" t="s">
        <v>1370</v>
      </c>
      <c r="F24" t="s">
        <v>1376</v>
      </c>
      <c r="G24" t="s">
        <v>1704</v>
      </c>
      <c r="H24" t="s">
        <v>1382</v>
      </c>
      <c r="I24" t="s">
        <v>1391</v>
      </c>
      <c r="J24" t="s">
        <v>1394</v>
      </c>
      <c r="K24" t="s">
        <v>1402</v>
      </c>
      <c r="L24" t="s">
        <v>1426</v>
      </c>
      <c r="M24" s="3">
        <v>1069.8599999999999</v>
      </c>
      <c r="N24">
        <v>9</v>
      </c>
      <c r="O24" s="3">
        <v>0.1</v>
      </c>
      <c r="P24" s="3">
        <v>-68.28</v>
      </c>
      <c r="Q24" s="3">
        <f>Table1_1[[#This Row],[Sales]]/Table1_1[[#This Row],[Quantity]]</f>
        <v>118.87333333333332</v>
      </c>
    </row>
    <row r="25" spans="1:17" x14ac:dyDescent="0.3">
      <c r="A25" t="s">
        <v>38</v>
      </c>
      <c r="B25" s="2">
        <f t="shared" si="0"/>
        <v>45062</v>
      </c>
      <c r="C25" t="s">
        <v>1718</v>
      </c>
      <c r="D25" s="2">
        <v>45067</v>
      </c>
      <c r="E25" t="s">
        <v>1371</v>
      </c>
      <c r="F25" t="s">
        <v>1374</v>
      </c>
      <c r="G25" t="s">
        <v>1704</v>
      </c>
      <c r="H25" t="s">
        <v>1383</v>
      </c>
      <c r="I25" t="s">
        <v>1389</v>
      </c>
      <c r="J25" t="s">
        <v>1392</v>
      </c>
      <c r="K25" t="s">
        <v>1401</v>
      </c>
      <c r="L25" t="s">
        <v>1427</v>
      </c>
      <c r="M25" s="3">
        <v>768.46</v>
      </c>
      <c r="N25">
        <v>5</v>
      </c>
      <c r="O25" s="3">
        <v>0</v>
      </c>
      <c r="P25" s="3">
        <v>-152.33000000000001</v>
      </c>
      <c r="Q25" s="3">
        <f>Table1_1[[#This Row],[Sales]]/Table1_1[[#This Row],[Quantity]]</f>
        <v>153.69200000000001</v>
      </c>
    </row>
    <row r="26" spans="1:17" x14ac:dyDescent="0.3">
      <c r="A26" t="s">
        <v>39</v>
      </c>
      <c r="B26" s="2">
        <f t="shared" si="0"/>
        <v>44835</v>
      </c>
      <c r="C26" t="s">
        <v>1719</v>
      </c>
      <c r="D26" s="2">
        <v>44573</v>
      </c>
      <c r="E26" t="s">
        <v>1359</v>
      </c>
      <c r="F26" t="s">
        <v>1376</v>
      </c>
      <c r="G26" t="s">
        <v>1704</v>
      </c>
      <c r="H26" t="s">
        <v>1381</v>
      </c>
      <c r="I26" t="s">
        <v>1391</v>
      </c>
      <c r="J26" t="s">
        <v>1392</v>
      </c>
      <c r="K26" t="s">
        <v>1395</v>
      </c>
      <c r="L26" t="s">
        <v>1410</v>
      </c>
      <c r="M26" s="3">
        <v>1086.6400000000001</v>
      </c>
      <c r="N26">
        <v>9</v>
      </c>
      <c r="O26" s="3">
        <v>0</v>
      </c>
      <c r="P26" s="3">
        <v>236.12</v>
      </c>
      <c r="Q26" s="3">
        <f>Table1_1[[#This Row],[Sales]]/Table1_1[[#This Row],[Quantity]]</f>
        <v>120.73777777777779</v>
      </c>
    </row>
    <row r="27" spans="1:17" x14ac:dyDescent="0.3">
      <c r="A27" t="s">
        <v>40</v>
      </c>
      <c r="B27" s="2">
        <f t="shared" si="0"/>
        <v>45377</v>
      </c>
      <c r="C27" t="s">
        <v>540</v>
      </c>
      <c r="D27" s="2">
        <v>45378</v>
      </c>
      <c r="E27" t="s">
        <v>1364</v>
      </c>
      <c r="F27" t="s">
        <v>1375</v>
      </c>
      <c r="G27" t="s">
        <v>1704</v>
      </c>
      <c r="H27" t="s">
        <v>1386</v>
      </c>
      <c r="I27" t="s">
        <v>1390</v>
      </c>
      <c r="J27" t="s">
        <v>1394</v>
      </c>
      <c r="K27" t="s">
        <v>1402</v>
      </c>
      <c r="L27" t="s">
        <v>1428</v>
      </c>
      <c r="M27" s="3">
        <v>824.84</v>
      </c>
      <c r="N27">
        <v>2</v>
      </c>
      <c r="O27" s="3">
        <v>0.15</v>
      </c>
      <c r="P27" s="3">
        <v>156.77000000000001</v>
      </c>
      <c r="Q27" s="3">
        <f>Table1_1[[#This Row],[Sales]]/Table1_1[[#This Row],[Quantity]]</f>
        <v>412.42</v>
      </c>
    </row>
    <row r="28" spans="1:17" hidden="1" x14ac:dyDescent="0.3">
      <c r="A28" t="s">
        <v>41</v>
      </c>
      <c r="B28" s="2" t="e">
        <f t="shared" si="0"/>
        <v>#VALUE!</v>
      </c>
      <c r="C28" t="s">
        <v>1720</v>
      </c>
      <c r="D28" s="2">
        <v>44985</v>
      </c>
      <c r="E28" t="s">
        <v>1366</v>
      </c>
      <c r="F28" t="s">
        <v>1375</v>
      </c>
      <c r="G28" t="s">
        <v>1704</v>
      </c>
      <c r="H28" t="s">
        <v>1387</v>
      </c>
      <c r="I28" t="s">
        <v>1390</v>
      </c>
      <c r="J28" t="s">
        <v>1392</v>
      </c>
      <c r="K28" t="s">
        <v>1395</v>
      </c>
      <c r="L28" t="s">
        <v>1429</v>
      </c>
      <c r="M28" s="3">
        <v>1110.9000000000001</v>
      </c>
      <c r="N28">
        <v>7</v>
      </c>
      <c r="O28" s="3">
        <v>0.1</v>
      </c>
      <c r="P28" s="3">
        <v>-73.98</v>
      </c>
      <c r="Q28" s="3">
        <f>Table1_1[[#This Row],[Sales]]/Table1_1[[#This Row],[Quantity]]</f>
        <v>158.70000000000002</v>
      </c>
    </row>
    <row r="29" spans="1:17" x14ac:dyDescent="0.3">
      <c r="A29" t="s">
        <v>42</v>
      </c>
      <c r="B29" s="2">
        <f t="shared" si="0"/>
        <v>44920</v>
      </c>
      <c r="C29" t="s">
        <v>1721</v>
      </c>
      <c r="D29" s="2">
        <v>44925</v>
      </c>
      <c r="E29" t="s">
        <v>1372</v>
      </c>
      <c r="F29" t="s">
        <v>1374</v>
      </c>
      <c r="G29" t="s">
        <v>1704</v>
      </c>
      <c r="H29" t="s">
        <v>1382</v>
      </c>
      <c r="I29" t="s">
        <v>1391</v>
      </c>
      <c r="J29" t="s">
        <v>1392</v>
      </c>
      <c r="K29" t="s">
        <v>1401</v>
      </c>
      <c r="L29" t="s">
        <v>1430</v>
      </c>
      <c r="M29" s="3">
        <v>47.92</v>
      </c>
      <c r="N29">
        <v>4</v>
      </c>
      <c r="O29" s="3">
        <v>0.2</v>
      </c>
      <c r="P29" s="3">
        <v>-1.72</v>
      </c>
      <c r="Q29" s="3">
        <f>Table1_1[[#This Row],[Sales]]/Table1_1[[#This Row],[Quantity]]</f>
        <v>11.98</v>
      </c>
    </row>
    <row r="30" spans="1:17" x14ac:dyDescent="0.3">
      <c r="A30" t="s">
        <v>43</v>
      </c>
      <c r="B30" s="2">
        <f t="shared" si="0"/>
        <v>44680</v>
      </c>
      <c r="C30" t="s">
        <v>543</v>
      </c>
      <c r="D30" s="2">
        <v>44685</v>
      </c>
      <c r="E30" t="s">
        <v>1362</v>
      </c>
      <c r="F30" t="s">
        <v>1376</v>
      </c>
      <c r="G30" t="s">
        <v>1704</v>
      </c>
      <c r="H30" t="s">
        <v>1383</v>
      </c>
      <c r="I30" t="s">
        <v>1388</v>
      </c>
      <c r="J30" t="s">
        <v>1392</v>
      </c>
      <c r="K30" t="s">
        <v>1395</v>
      </c>
      <c r="L30" t="s">
        <v>1431</v>
      </c>
      <c r="M30" s="3">
        <v>1155.79</v>
      </c>
      <c r="N30">
        <v>5</v>
      </c>
      <c r="O30" s="3">
        <v>0</v>
      </c>
      <c r="P30" s="3">
        <v>-168.51</v>
      </c>
      <c r="Q30" s="3">
        <f>Table1_1[[#This Row],[Sales]]/Table1_1[[#This Row],[Quantity]]</f>
        <v>231.15799999999999</v>
      </c>
    </row>
    <row r="31" spans="1:17" hidden="1" x14ac:dyDescent="0.3">
      <c r="A31" t="s">
        <v>44</v>
      </c>
      <c r="B31" s="2" t="e">
        <f t="shared" si="0"/>
        <v>#VALUE!</v>
      </c>
      <c r="C31" t="s">
        <v>1722</v>
      </c>
      <c r="D31" s="2">
        <v>45156</v>
      </c>
      <c r="E31" t="s">
        <v>1368</v>
      </c>
      <c r="F31" t="s">
        <v>1376</v>
      </c>
      <c r="G31" t="s">
        <v>1379</v>
      </c>
      <c r="H31" t="s">
        <v>1382</v>
      </c>
      <c r="I31" t="s">
        <v>1391</v>
      </c>
      <c r="J31" t="s">
        <v>1394</v>
      </c>
      <c r="K31" t="s">
        <v>1402</v>
      </c>
      <c r="L31" t="s">
        <v>1432</v>
      </c>
      <c r="M31" s="3">
        <v>856.37</v>
      </c>
      <c r="N31">
        <v>1</v>
      </c>
      <c r="O31" s="3">
        <v>0</v>
      </c>
      <c r="P31" s="3">
        <v>225.04</v>
      </c>
      <c r="Q31" s="3">
        <f>Table1_1[[#This Row],[Sales]]/Table1_1[[#This Row],[Quantity]]</f>
        <v>856.37</v>
      </c>
    </row>
    <row r="32" spans="1:17" x14ac:dyDescent="0.3">
      <c r="A32" t="s">
        <v>45</v>
      </c>
      <c r="B32" s="2">
        <f t="shared" si="0"/>
        <v>44883</v>
      </c>
      <c r="C32" t="s">
        <v>545</v>
      </c>
      <c r="D32" s="2">
        <v>44885</v>
      </c>
      <c r="E32" t="s">
        <v>1359</v>
      </c>
      <c r="F32" t="s">
        <v>1375</v>
      </c>
      <c r="G32" t="s">
        <v>1704</v>
      </c>
      <c r="H32" t="s">
        <v>1382</v>
      </c>
      <c r="I32" t="s">
        <v>1389</v>
      </c>
      <c r="J32" t="s">
        <v>1393</v>
      </c>
      <c r="K32" t="s">
        <v>1399</v>
      </c>
      <c r="L32" t="s">
        <v>1433</v>
      </c>
      <c r="M32" s="3">
        <v>618.4</v>
      </c>
      <c r="N32">
        <v>7</v>
      </c>
      <c r="O32" s="3">
        <v>0.15</v>
      </c>
      <c r="P32" s="3">
        <v>0.74</v>
      </c>
      <c r="Q32" s="3">
        <f>Table1_1[[#This Row],[Sales]]/Table1_1[[#This Row],[Quantity]]</f>
        <v>88.342857142857142</v>
      </c>
    </row>
    <row r="33" spans="1:17" x14ac:dyDescent="0.3">
      <c r="A33" t="s">
        <v>46</v>
      </c>
      <c r="B33" s="2">
        <f t="shared" si="0"/>
        <v>45328</v>
      </c>
      <c r="C33" t="s">
        <v>1723</v>
      </c>
      <c r="D33" s="2">
        <v>45331</v>
      </c>
      <c r="E33" t="s">
        <v>1365</v>
      </c>
      <c r="F33" t="s">
        <v>1374</v>
      </c>
      <c r="G33" t="s">
        <v>1379</v>
      </c>
      <c r="H33" t="s">
        <v>1385</v>
      </c>
      <c r="I33" t="s">
        <v>1389</v>
      </c>
      <c r="J33" t="s">
        <v>1393</v>
      </c>
      <c r="K33" t="s">
        <v>1396</v>
      </c>
      <c r="L33" t="s">
        <v>1434</v>
      </c>
      <c r="M33" s="3">
        <v>375.12</v>
      </c>
      <c r="N33">
        <v>9</v>
      </c>
      <c r="O33" s="3">
        <v>0</v>
      </c>
      <c r="P33" s="3">
        <v>-18.03</v>
      </c>
      <c r="Q33" s="3">
        <f>Table1_1[[#This Row],[Sales]]/Table1_1[[#This Row],[Quantity]]</f>
        <v>41.68</v>
      </c>
    </row>
    <row r="34" spans="1:17" hidden="1" x14ac:dyDescent="0.3">
      <c r="A34" t="s">
        <v>47</v>
      </c>
      <c r="B34" s="2" t="e">
        <f t="shared" si="0"/>
        <v>#VALUE!</v>
      </c>
      <c r="C34" t="s">
        <v>1724</v>
      </c>
      <c r="D34" s="2">
        <v>45257</v>
      </c>
      <c r="E34" t="s">
        <v>1360</v>
      </c>
      <c r="F34" t="s">
        <v>1375</v>
      </c>
      <c r="G34" t="s">
        <v>1704</v>
      </c>
      <c r="H34" t="s">
        <v>1382</v>
      </c>
      <c r="I34" t="s">
        <v>1391</v>
      </c>
      <c r="J34" t="s">
        <v>1393</v>
      </c>
      <c r="K34" t="s">
        <v>1399</v>
      </c>
      <c r="L34" t="s">
        <v>1435</v>
      </c>
      <c r="M34" s="3">
        <v>956.61</v>
      </c>
      <c r="N34">
        <v>3</v>
      </c>
      <c r="O34" s="3">
        <v>0</v>
      </c>
      <c r="P34" s="3">
        <v>-55.59</v>
      </c>
      <c r="Q34" s="3">
        <f>Table1_1[[#This Row],[Sales]]/Table1_1[[#This Row],[Quantity]]</f>
        <v>318.87</v>
      </c>
    </row>
    <row r="35" spans="1:17" x14ac:dyDescent="0.3">
      <c r="A35" t="s">
        <v>48</v>
      </c>
      <c r="B35" s="2">
        <f t="shared" si="0"/>
        <v>45387</v>
      </c>
      <c r="C35" t="s">
        <v>1725</v>
      </c>
      <c r="D35" s="2">
        <v>45391</v>
      </c>
      <c r="E35" t="s">
        <v>1373</v>
      </c>
      <c r="F35" t="s">
        <v>1374</v>
      </c>
      <c r="G35" t="s">
        <v>1704</v>
      </c>
      <c r="H35" t="s">
        <v>1382</v>
      </c>
      <c r="I35" t="s">
        <v>1389</v>
      </c>
      <c r="J35" t="s">
        <v>1392</v>
      </c>
      <c r="K35" t="s">
        <v>1401</v>
      </c>
      <c r="L35" t="s">
        <v>1436</v>
      </c>
      <c r="M35" s="3">
        <v>74.53</v>
      </c>
      <c r="N35">
        <v>8</v>
      </c>
      <c r="O35" s="3">
        <v>0</v>
      </c>
      <c r="P35" s="3">
        <v>16.760000000000002</v>
      </c>
      <c r="Q35" s="3">
        <f>Table1_1[[#This Row],[Sales]]/Table1_1[[#This Row],[Quantity]]</f>
        <v>9.3162500000000001</v>
      </c>
    </row>
    <row r="36" spans="1:17" hidden="1" x14ac:dyDescent="0.3">
      <c r="A36" t="s">
        <v>49</v>
      </c>
      <c r="B36" s="2" t="e">
        <f t="shared" si="0"/>
        <v>#VALUE!</v>
      </c>
      <c r="C36" t="s">
        <v>1726</v>
      </c>
      <c r="D36" s="2">
        <v>44975</v>
      </c>
      <c r="E36" t="s">
        <v>1360</v>
      </c>
      <c r="F36" t="s">
        <v>1375</v>
      </c>
      <c r="G36" t="s">
        <v>1704</v>
      </c>
      <c r="H36" t="s">
        <v>1386</v>
      </c>
      <c r="I36" t="s">
        <v>1388</v>
      </c>
      <c r="J36" t="s">
        <v>1392</v>
      </c>
      <c r="K36" t="s">
        <v>1395</v>
      </c>
      <c r="L36" t="s">
        <v>1429</v>
      </c>
      <c r="M36" s="3">
        <v>831.39</v>
      </c>
      <c r="N36">
        <v>2</v>
      </c>
      <c r="O36" s="3">
        <v>0.2</v>
      </c>
      <c r="P36" s="3">
        <v>-75.31</v>
      </c>
      <c r="Q36" s="3">
        <f>Table1_1[[#This Row],[Sales]]/Table1_1[[#This Row],[Quantity]]</f>
        <v>415.69499999999999</v>
      </c>
    </row>
    <row r="37" spans="1:17" x14ac:dyDescent="0.3">
      <c r="A37" t="s">
        <v>50</v>
      </c>
      <c r="B37" s="2">
        <f t="shared" si="0"/>
        <v>44698</v>
      </c>
      <c r="C37" t="s">
        <v>550</v>
      </c>
      <c r="D37" s="2">
        <v>44706</v>
      </c>
      <c r="E37" t="s">
        <v>1364</v>
      </c>
      <c r="F37" t="s">
        <v>1374</v>
      </c>
      <c r="G37" t="s">
        <v>1704</v>
      </c>
      <c r="H37" t="s">
        <v>1386</v>
      </c>
      <c r="I37" t="s">
        <v>1389</v>
      </c>
      <c r="J37" t="s">
        <v>1393</v>
      </c>
      <c r="K37" t="s">
        <v>1396</v>
      </c>
      <c r="L37" t="s">
        <v>1437</v>
      </c>
      <c r="M37" s="3">
        <v>1185.71</v>
      </c>
      <c r="N37">
        <v>10</v>
      </c>
      <c r="O37" s="3">
        <v>0.15</v>
      </c>
      <c r="P37" s="3">
        <v>326.08999999999997</v>
      </c>
      <c r="Q37" s="3">
        <f>Table1_1[[#This Row],[Sales]]/Table1_1[[#This Row],[Quantity]]</f>
        <v>118.571</v>
      </c>
    </row>
    <row r="38" spans="1:17" x14ac:dyDescent="0.3">
      <c r="A38" t="s">
        <v>51</v>
      </c>
      <c r="B38" s="2">
        <f t="shared" si="0"/>
        <v>45323</v>
      </c>
      <c r="C38" t="s">
        <v>1727</v>
      </c>
      <c r="D38" s="2">
        <v>45331</v>
      </c>
      <c r="E38" t="s">
        <v>1372</v>
      </c>
      <c r="F38" t="s">
        <v>1375</v>
      </c>
      <c r="G38" t="s">
        <v>1379</v>
      </c>
      <c r="H38" t="s">
        <v>1387</v>
      </c>
      <c r="I38" t="s">
        <v>1391</v>
      </c>
      <c r="J38" t="s">
        <v>1394</v>
      </c>
      <c r="K38" t="s">
        <v>1403</v>
      </c>
      <c r="L38" t="s">
        <v>1438</v>
      </c>
      <c r="M38" s="3">
        <v>907.1</v>
      </c>
      <c r="N38">
        <v>5</v>
      </c>
      <c r="O38" s="3">
        <v>0</v>
      </c>
      <c r="P38" s="3">
        <v>38.369999999999997</v>
      </c>
      <c r="Q38" s="3">
        <f>Table1_1[[#This Row],[Sales]]/Table1_1[[#This Row],[Quantity]]</f>
        <v>181.42000000000002</v>
      </c>
    </row>
    <row r="39" spans="1:17" x14ac:dyDescent="0.3">
      <c r="A39" t="s">
        <v>52</v>
      </c>
      <c r="B39" s="2">
        <f t="shared" si="0"/>
        <v>44889</v>
      </c>
      <c r="C39" t="s">
        <v>1728</v>
      </c>
      <c r="D39" s="2">
        <v>44898</v>
      </c>
      <c r="E39" t="s">
        <v>1373</v>
      </c>
      <c r="F39" t="s">
        <v>1376</v>
      </c>
      <c r="G39" t="s">
        <v>1704</v>
      </c>
      <c r="H39" t="s">
        <v>1385</v>
      </c>
      <c r="I39" t="s">
        <v>1388</v>
      </c>
      <c r="J39" t="s">
        <v>1392</v>
      </c>
      <c r="K39" t="s">
        <v>1401</v>
      </c>
      <c r="L39" t="s">
        <v>1439</v>
      </c>
      <c r="M39" s="3">
        <v>197.98</v>
      </c>
      <c r="N39">
        <v>7</v>
      </c>
      <c r="O39" s="3">
        <v>0.1</v>
      </c>
      <c r="P39" s="3">
        <v>30.33</v>
      </c>
      <c r="Q39" s="3">
        <f>Table1_1[[#This Row],[Sales]]/Table1_1[[#This Row],[Quantity]]</f>
        <v>28.282857142857143</v>
      </c>
    </row>
    <row r="40" spans="1:17" x14ac:dyDescent="0.3">
      <c r="A40" t="s">
        <v>53</v>
      </c>
      <c r="B40" s="2">
        <f t="shared" si="0"/>
        <v>45414</v>
      </c>
      <c r="C40" t="s">
        <v>1729</v>
      </c>
      <c r="D40" s="2">
        <v>45421</v>
      </c>
      <c r="E40" t="s">
        <v>1372</v>
      </c>
      <c r="F40" t="s">
        <v>1376</v>
      </c>
      <c r="G40" t="s">
        <v>1704</v>
      </c>
      <c r="H40" t="s">
        <v>1383</v>
      </c>
      <c r="I40" t="s">
        <v>1390</v>
      </c>
      <c r="J40" t="s">
        <v>1394</v>
      </c>
      <c r="K40" t="s">
        <v>1398</v>
      </c>
      <c r="L40" t="s">
        <v>1440</v>
      </c>
      <c r="M40" s="3">
        <v>1136.3499999999999</v>
      </c>
      <c r="N40">
        <v>1</v>
      </c>
      <c r="O40" s="3">
        <v>0</v>
      </c>
      <c r="P40" s="3">
        <v>-11.15</v>
      </c>
      <c r="Q40" s="3">
        <f>Table1_1[[#This Row],[Sales]]/Table1_1[[#This Row],[Quantity]]</f>
        <v>1136.3499999999999</v>
      </c>
    </row>
    <row r="41" spans="1:17" x14ac:dyDescent="0.3">
      <c r="A41" t="s">
        <v>54</v>
      </c>
      <c r="B41" s="2">
        <f t="shared" si="0"/>
        <v>44786</v>
      </c>
      <c r="C41" t="s">
        <v>554</v>
      </c>
      <c r="D41" s="2">
        <v>44791</v>
      </c>
      <c r="E41" t="s">
        <v>1370</v>
      </c>
      <c r="F41" t="s">
        <v>1374</v>
      </c>
      <c r="G41" t="s">
        <v>1379</v>
      </c>
      <c r="H41" t="s">
        <v>1385</v>
      </c>
      <c r="I41" t="s">
        <v>1388</v>
      </c>
      <c r="J41" t="s">
        <v>1394</v>
      </c>
      <c r="K41" t="s">
        <v>1403</v>
      </c>
      <c r="L41" t="s">
        <v>1441</v>
      </c>
      <c r="M41" s="3">
        <v>54.25</v>
      </c>
      <c r="N41">
        <v>6</v>
      </c>
      <c r="O41" s="3">
        <v>0.2</v>
      </c>
      <c r="P41" s="3">
        <v>8.7899999999999991</v>
      </c>
      <c r="Q41" s="3">
        <f>Table1_1[[#This Row],[Sales]]/Table1_1[[#This Row],[Quantity]]</f>
        <v>9.0416666666666661</v>
      </c>
    </row>
    <row r="42" spans="1:17" x14ac:dyDescent="0.3">
      <c r="A42" t="s">
        <v>55</v>
      </c>
      <c r="B42" s="2">
        <f t="shared" si="0"/>
        <v>45220</v>
      </c>
      <c r="C42" t="s">
        <v>555</v>
      </c>
      <c r="D42" s="2">
        <v>45227</v>
      </c>
      <c r="E42" t="s">
        <v>1372</v>
      </c>
      <c r="F42" t="s">
        <v>1376</v>
      </c>
      <c r="G42" t="s">
        <v>1379</v>
      </c>
      <c r="H42" t="s">
        <v>1386</v>
      </c>
      <c r="I42" t="s">
        <v>1389</v>
      </c>
      <c r="J42" t="s">
        <v>1392</v>
      </c>
      <c r="K42" t="s">
        <v>1397</v>
      </c>
      <c r="L42" t="s">
        <v>1442</v>
      </c>
      <c r="M42" s="3">
        <v>234.44</v>
      </c>
      <c r="N42">
        <v>5</v>
      </c>
      <c r="O42" s="3">
        <v>0.2</v>
      </c>
      <c r="P42" s="3">
        <v>-8.52</v>
      </c>
      <c r="Q42" s="3">
        <f>Table1_1[[#This Row],[Sales]]/Table1_1[[#This Row],[Quantity]]</f>
        <v>46.887999999999998</v>
      </c>
    </row>
    <row r="43" spans="1:17" x14ac:dyDescent="0.3">
      <c r="A43" t="s">
        <v>56</v>
      </c>
      <c r="B43" s="2">
        <f t="shared" si="0"/>
        <v>45416</v>
      </c>
      <c r="C43" t="s">
        <v>1730</v>
      </c>
      <c r="D43" s="2">
        <v>45418</v>
      </c>
      <c r="E43" t="s">
        <v>1369</v>
      </c>
      <c r="F43" t="s">
        <v>1375</v>
      </c>
      <c r="G43" t="s">
        <v>1704</v>
      </c>
      <c r="H43" t="s">
        <v>1386</v>
      </c>
      <c r="I43" t="s">
        <v>1388</v>
      </c>
      <c r="J43" t="s">
        <v>1394</v>
      </c>
      <c r="K43" t="s">
        <v>1402</v>
      </c>
      <c r="L43" t="s">
        <v>1432</v>
      </c>
      <c r="M43" s="3">
        <v>903.85</v>
      </c>
      <c r="N43">
        <v>1</v>
      </c>
      <c r="O43" s="3">
        <v>0.15</v>
      </c>
      <c r="P43" s="3">
        <v>-79.44</v>
      </c>
      <c r="Q43" s="3">
        <f>Table1_1[[#This Row],[Sales]]/Table1_1[[#This Row],[Quantity]]</f>
        <v>903.85</v>
      </c>
    </row>
    <row r="44" spans="1:17" x14ac:dyDescent="0.3">
      <c r="A44" t="s">
        <v>57</v>
      </c>
      <c r="B44" s="2">
        <f t="shared" si="0"/>
        <v>44718</v>
      </c>
      <c r="C44" t="s">
        <v>557</v>
      </c>
      <c r="D44" s="2">
        <v>44722</v>
      </c>
      <c r="E44" t="s">
        <v>1371</v>
      </c>
      <c r="F44" t="s">
        <v>1374</v>
      </c>
      <c r="G44" t="s">
        <v>1379</v>
      </c>
      <c r="H44" t="s">
        <v>1386</v>
      </c>
      <c r="I44" t="s">
        <v>1390</v>
      </c>
      <c r="J44" t="s">
        <v>1392</v>
      </c>
      <c r="K44" t="s">
        <v>1397</v>
      </c>
      <c r="L44" t="s">
        <v>1443</v>
      </c>
      <c r="M44" s="3">
        <v>809.96</v>
      </c>
      <c r="N44">
        <v>10</v>
      </c>
      <c r="O44" s="3">
        <v>0.1</v>
      </c>
      <c r="P44" s="3">
        <v>26.34</v>
      </c>
      <c r="Q44" s="3">
        <f>Table1_1[[#This Row],[Sales]]/Table1_1[[#This Row],[Quantity]]</f>
        <v>80.996000000000009</v>
      </c>
    </row>
    <row r="45" spans="1:17" x14ac:dyDescent="0.3">
      <c r="A45" t="s">
        <v>58</v>
      </c>
      <c r="B45" s="2">
        <f t="shared" si="0"/>
        <v>44672</v>
      </c>
      <c r="C45" t="s">
        <v>1731</v>
      </c>
      <c r="D45" s="2">
        <v>44682</v>
      </c>
      <c r="E45" t="s">
        <v>1361</v>
      </c>
      <c r="F45" t="s">
        <v>1374</v>
      </c>
      <c r="G45" t="s">
        <v>1704</v>
      </c>
      <c r="H45" t="s">
        <v>1381</v>
      </c>
      <c r="I45" t="s">
        <v>1391</v>
      </c>
      <c r="J45" t="s">
        <v>1392</v>
      </c>
      <c r="K45" t="s">
        <v>1397</v>
      </c>
      <c r="L45" t="s">
        <v>1444</v>
      </c>
      <c r="M45" s="3">
        <v>699.44</v>
      </c>
      <c r="N45">
        <v>7</v>
      </c>
      <c r="O45" s="3">
        <v>0.2</v>
      </c>
      <c r="P45" s="3">
        <v>189.36</v>
      </c>
      <c r="Q45" s="3">
        <f>Table1_1[[#This Row],[Sales]]/Table1_1[[#This Row],[Quantity]]</f>
        <v>99.92</v>
      </c>
    </row>
    <row r="46" spans="1:17" x14ac:dyDescent="0.3">
      <c r="A46" t="s">
        <v>59</v>
      </c>
      <c r="B46" s="2">
        <f t="shared" si="0"/>
        <v>45116</v>
      </c>
      <c r="C46" t="s">
        <v>1732</v>
      </c>
      <c r="D46" s="2">
        <v>45178</v>
      </c>
      <c r="E46" t="s">
        <v>1371</v>
      </c>
      <c r="F46" t="s">
        <v>1376</v>
      </c>
      <c r="G46" t="s">
        <v>1704</v>
      </c>
      <c r="H46" t="s">
        <v>1381</v>
      </c>
      <c r="I46" t="s">
        <v>1389</v>
      </c>
      <c r="J46" t="s">
        <v>1393</v>
      </c>
      <c r="K46" t="s">
        <v>1400</v>
      </c>
      <c r="L46" t="s">
        <v>1445</v>
      </c>
      <c r="M46" s="3">
        <v>429.7</v>
      </c>
      <c r="N46">
        <v>7</v>
      </c>
      <c r="O46" s="3">
        <v>0.15</v>
      </c>
      <c r="P46" s="3">
        <v>-71.12</v>
      </c>
      <c r="Q46" s="3">
        <f>Table1_1[[#This Row],[Sales]]/Table1_1[[#This Row],[Quantity]]</f>
        <v>61.385714285714286</v>
      </c>
    </row>
    <row r="47" spans="1:17" hidden="1" x14ac:dyDescent="0.3">
      <c r="A47" t="s">
        <v>60</v>
      </c>
      <c r="B47" s="2" t="e">
        <f t="shared" si="0"/>
        <v>#VALUE!</v>
      </c>
      <c r="C47" t="s">
        <v>1733</v>
      </c>
      <c r="D47" s="2">
        <v>45220</v>
      </c>
      <c r="E47" t="s">
        <v>1373</v>
      </c>
      <c r="F47" t="s">
        <v>1376</v>
      </c>
      <c r="G47" t="s">
        <v>1379</v>
      </c>
      <c r="H47" t="s">
        <v>1384</v>
      </c>
      <c r="I47" t="s">
        <v>1390</v>
      </c>
      <c r="J47" t="s">
        <v>1393</v>
      </c>
      <c r="K47" t="s">
        <v>1400</v>
      </c>
      <c r="L47" t="s">
        <v>1446</v>
      </c>
      <c r="M47" s="3">
        <v>533.87</v>
      </c>
      <c r="N47">
        <v>9</v>
      </c>
      <c r="O47" s="3">
        <v>0.15</v>
      </c>
      <c r="P47" s="3">
        <v>57.63</v>
      </c>
      <c r="Q47" s="3">
        <f>Table1_1[[#This Row],[Sales]]/Table1_1[[#This Row],[Quantity]]</f>
        <v>59.318888888888893</v>
      </c>
    </row>
    <row r="48" spans="1:17" x14ac:dyDescent="0.3">
      <c r="A48" t="s">
        <v>61</v>
      </c>
      <c r="B48" s="2">
        <f t="shared" si="0"/>
        <v>44847</v>
      </c>
      <c r="C48" t="s">
        <v>561</v>
      </c>
      <c r="D48" s="2">
        <v>44855</v>
      </c>
      <c r="E48" t="s">
        <v>1368</v>
      </c>
      <c r="F48" t="s">
        <v>1375</v>
      </c>
      <c r="G48" t="s">
        <v>1379</v>
      </c>
      <c r="H48" t="s">
        <v>1386</v>
      </c>
      <c r="I48" t="s">
        <v>1391</v>
      </c>
      <c r="J48" t="s">
        <v>1392</v>
      </c>
      <c r="K48" t="s">
        <v>1397</v>
      </c>
      <c r="L48" t="s">
        <v>1447</v>
      </c>
      <c r="M48" s="3">
        <v>692.42</v>
      </c>
      <c r="N48">
        <v>7</v>
      </c>
      <c r="O48" s="3">
        <v>0.15</v>
      </c>
      <c r="P48" s="3">
        <v>-128.55000000000001</v>
      </c>
      <c r="Q48" s="3">
        <f>Table1_1[[#This Row],[Sales]]/Table1_1[[#This Row],[Quantity]]</f>
        <v>98.917142857142849</v>
      </c>
    </row>
    <row r="49" spans="1:17" hidden="1" x14ac:dyDescent="0.3">
      <c r="A49" t="s">
        <v>62</v>
      </c>
      <c r="B49" s="2" t="e">
        <f t="shared" si="0"/>
        <v>#VALUE!</v>
      </c>
      <c r="C49" t="s">
        <v>1734</v>
      </c>
      <c r="D49" s="2">
        <v>44858</v>
      </c>
      <c r="E49" t="s">
        <v>1373</v>
      </c>
      <c r="F49" t="s">
        <v>1374</v>
      </c>
      <c r="G49" t="s">
        <v>1704</v>
      </c>
      <c r="H49" t="s">
        <v>1382</v>
      </c>
      <c r="I49" t="s">
        <v>1389</v>
      </c>
      <c r="J49" t="s">
        <v>1393</v>
      </c>
      <c r="K49" t="s">
        <v>1399</v>
      </c>
      <c r="L49" t="s">
        <v>1448</v>
      </c>
      <c r="M49" s="3">
        <v>675.83</v>
      </c>
      <c r="N49">
        <v>9</v>
      </c>
      <c r="O49" s="3">
        <v>0.1</v>
      </c>
      <c r="P49" s="3">
        <v>-106.24</v>
      </c>
      <c r="Q49" s="3">
        <f>Table1_1[[#This Row],[Sales]]/Table1_1[[#This Row],[Quantity]]</f>
        <v>75.092222222222233</v>
      </c>
    </row>
    <row r="50" spans="1:17" x14ac:dyDescent="0.3">
      <c r="A50" t="s">
        <v>63</v>
      </c>
      <c r="B50" s="2">
        <f t="shared" si="0"/>
        <v>45290</v>
      </c>
      <c r="C50" t="s">
        <v>563</v>
      </c>
      <c r="D50" s="2">
        <v>45298</v>
      </c>
      <c r="E50" t="s">
        <v>1360</v>
      </c>
      <c r="F50" t="s">
        <v>1376</v>
      </c>
      <c r="G50" t="s">
        <v>1379</v>
      </c>
      <c r="H50" t="s">
        <v>1385</v>
      </c>
      <c r="I50" t="s">
        <v>1391</v>
      </c>
      <c r="J50" t="s">
        <v>1394</v>
      </c>
      <c r="K50" t="s">
        <v>1402</v>
      </c>
      <c r="L50" t="s">
        <v>1449</v>
      </c>
      <c r="M50" s="3">
        <v>129.80000000000001</v>
      </c>
      <c r="N50">
        <v>4</v>
      </c>
      <c r="O50" s="3">
        <v>0.2</v>
      </c>
      <c r="P50" s="3">
        <v>18.940000000000001</v>
      </c>
      <c r="Q50" s="3">
        <f>Table1_1[[#This Row],[Sales]]/Table1_1[[#This Row],[Quantity]]</f>
        <v>32.450000000000003</v>
      </c>
    </row>
    <row r="51" spans="1:17" hidden="1" x14ac:dyDescent="0.3">
      <c r="A51" t="s">
        <v>64</v>
      </c>
      <c r="B51" s="2" t="e">
        <f t="shared" si="0"/>
        <v>#VALUE!</v>
      </c>
      <c r="C51" t="s">
        <v>1735</v>
      </c>
      <c r="D51" s="2">
        <v>45289</v>
      </c>
      <c r="E51" t="s">
        <v>1364</v>
      </c>
      <c r="F51" t="s">
        <v>1375</v>
      </c>
      <c r="G51" t="s">
        <v>1704</v>
      </c>
      <c r="H51" t="s">
        <v>1387</v>
      </c>
      <c r="I51" t="s">
        <v>1389</v>
      </c>
      <c r="J51" t="s">
        <v>1394</v>
      </c>
      <c r="K51" t="s">
        <v>1403</v>
      </c>
      <c r="L51" t="s">
        <v>1450</v>
      </c>
      <c r="M51" s="3">
        <v>316.66000000000003</v>
      </c>
      <c r="N51">
        <v>2</v>
      </c>
      <c r="O51" s="3">
        <v>0.1</v>
      </c>
      <c r="P51" s="3">
        <v>-13.37</v>
      </c>
      <c r="Q51" s="3">
        <f>Table1_1[[#This Row],[Sales]]/Table1_1[[#This Row],[Quantity]]</f>
        <v>158.33000000000001</v>
      </c>
    </row>
    <row r="52" spans="1:17" x14ac:dyDescent="0.3">
      <c r="A52" t="s">
        <v>65</v>
      </c>
      <c r="B52" s="2">
        <f t="shared" si="0"/>
        <v>45303</v>
      </c>
      <c r="C52" t="s">
        <v>565</v>
      </c>
      <c r="D52" s="2">
        <v>45313</v>
      </c>
      <c r="E52" t="s">
        <v>1368</v>
      </c>
      <c r="F52" t="s">
        <v>1375</v>
      </c>
      <c r="G52" t="s">
        <v>1704</v>
      </c>
      <c r="H52" t="s">
        <v>1384</v>
      </c>
      <c r="I52" t="s">
        <v>1388</v>
      </c>
      <c r="J52" t="s">
        <v>1393</v>
      </c>
      <c r="K52" t="s">
        <v>1396</v>
      </c>
      <c r="L52" t="s">
        <v>1451</v>
      </c>
      <c r="M52" s="3">
        <v>353.94</v>
      </c>
      <c r="N52">
        <v>2</v>
      </c>
      <c r="O52" s="3">
        <v>0.1</v>
      </c>
      <c r="P52" s="3">
        <v>-18.36</v>
      </c>
      <c r="Q52" s="3">
        <f>Table1_1[[#This Row],[Sales]]/Table1_1[[#This Row],[Quantity]]</f>
        <v>176.97</v>
      </c>
    </row>
    <row r="53" spans="1:17" hidden="1" x14ac:dyDescent="0.3">
      <c r="A53" t="s">
        <v>66</v>
      </c>
      <c r="B53" s="2" t="e">
        <f t="shared" si="0"/>
        <v>#VALUE!</v>
      </c>
      <c r="C53" t="s">
        <v>1736</v>
      </c>
      <c r="D53" s="2">
        <v>45133</v>
      </c>
      <c r="E53" t="s">
        <v>1372</v>
      </c>
      <c r="F53" t="s">
        <v>1376</v>
      </c>
      <c r="G53" t="s">
        <v>1704</v>
      </c>
      <c r="H53" t="s">
        <v>1384</v>
      </c>
      <c r="I53" t="s">
        <v>1390</v>
      </c>
      <c r="J53" t="s">
        <v>1393</v>
      </c>
      <c r="K53" t="s">
        <v>1400</v>
      </c>
      <c r="L53" t="s">
        <v>1452</v>
      </c>
      <c r="M53" s="3">
        <v>772.69</v>
      </c>
      <c r="N53">
        <v>8</v>
      </c>
      <c r="O53" s="3">
        <v>0</v>
      </c>
      <c r="P53" s="3">
        <v>182.63</v>
      </c>
      <c r="Q53" s="3">
        <f>Table1_1[[#This Row],[Sales]]/Table1_1[[#This Row],[Quantity]]</f>
        <v>96.586250000000007</v>
      </c>
    </row>
    <row r="54" spans="1:17" x14ac:dyDescent="0.3">
      <c r="A54" t="s">
        <v>67</v>
      </c>
      <c r="B54" s="2">
        <f t="shared" si="0"/>
        <v>44820</v>
      </c>
      <c r="C54" t="s">
        <v>1737</v>
      </c>
      <c r="D54" s="2">
        <v>44828</v>
      </c>
      <c r="E54" t="s">
        <v>1363</v>
      </c>
      <c r="F54" t="s">
        <v>1374</v>
      </c>
      <c r="G54" t="s">
        <v>1379</v>
      </c>
      <c r="H54" t="s">
        <v>1381</v>
      </c>
      <c r="I54" t="s">
        <v>1390</v>
      </c>
      <c r="J54" t="s">
        <v>1392</v>
      </c>
      <c r="K54" t="s">
        <v>1401</v>
      </c>
      <c r="L54" t="s">
        <v>1453</v>
      </c>
      <c r="M54" s="3">
        <v>492.83</v>
      </c>
      <c r="N54">
        <v>2</v>
      </c>
      <c r="O54" s="3">
        <v>0</v>
      </c>
      <c r="P54" s="3">
        <v>56.54</v>
      </c>
      <c r="Q54" s="3">
        <f>Table1_1[[#This Row],[Sales]]/Table1_1[[#This Row],[Quantity]]</f>
        <v>246.41499999999999</v>
      </c>
    </row>
    <row r="55" spans="1:17" x14ac:dyDescent="0.3">
      <c r="A55" t="s">
        <v>68</v>
      </c>
      <c r="B55" s="2">
        <f t="shared" si="0"/>
        <v>45133</v>
      </c>
      <c r="C55" t="s">
        <v>568</v>
      </c>
      <c r="D55" s="2">
        <v>45140</v>
      </c>
      <c r="E55" t="s">
        <v>1362</v>
      </c>
      <c r="F55" t="s">
        <v>1376</v>
      </c>
      <c r="G55" t="s">
        <v>1379</v>
      </c>
      <c r="H55" t="s">
        <v>1383</v>
      </c>
      <c r="I55" t="s">
        <v>1388</v>
      </c>
      <c r="J55" t="s">
        <v>1393</v>
      </c>
      <c r="K55" t="s">
        <v>1396</v>
      </c>
      <c r="L55" t="s">
        <v>1454</v>
      </c>
      <c r="M55" s="3">
        <v>953.07</v>
      </c>
      <c r="N55">
        <v>4</v>
      </c>
      <c r="O55" s="3">
        <v>0</v>
      </c>
      <c r="P55" s="3">
        <v>-9.35</v>
      </c>
      <c r="Q55" s="3">
        <f>Table1_1[[#This Row],[Sales]]/Table1_1[[#This Row],[Quantity]]</f>
        <v>238.26750000000001</v>
      </c>
    </row>
    <row r="56" spans="1:17" hidden="1" x14ac:dyDescent="0.3">
      <c r="A56" t="s">
        <v>69</v>
      </c>
      <c r="B56" s="2" t="e">
        <f t="shared" si="0"/>
        <v>#VALUE!</v>
      </c>
      <c r="C56" t="s">
        <v>1738</v>
      </c>
      <c r="D56" s="2">
        <v>45321</v>
      </c>
      <c r="E56" t="s">
        <v>1369</v>
      </c>
      <c r="F56" t="s">
        <v>1375</v>
      </c>
      <c r="G56" t="s">
        <v>1704</v>
      </c>
      <c r="H56" t="s">
        <v>1385</v>
      </c>
      <c r="I56" t="s">
        <v>1389</v>
      </c>
      <c r="J56" t="s">
        <v>1392</v>
      </c>
      <c r="K56" t="s">
        <v>1395</v>
      </c>
      <c r="L56" t="s">
        <v>1455</v>
      </c>
      <c r="M56" s="3">
        <v>269.01</v>
      </c>
      <c r="N56">
        <v>2</v>
      </c>
      <c r="O56" s="3">
        <v>0.1</v>
      </c>
      <c r="P56" s="3">
        <v>-21.54</v>
      </c>
      <c r="Q56" s="3">
        <f>Table1_1[[#This Row],[Sales]]/Table1_1[[#This Row],[Quantity]]</f>
        <v>134.505</v>
      </c>
    </row>
    <row r="57" spans="1:17" x14ac:dyDescent="0.3">
      <c r="A57" t="s">
        <v>70</v>
      </c>
      <c r="B57" s="2">
        <f t="shared" si="0"/>
        <v>44595</v>
      </c>
      <c r="C57" t="s">
        <v>570</v>
      </c>
      <c r="D57" s="2">
        <v>44599</v>
      </c>
      <c r="E57" t="s">
        <v>1364</v>
      </c>
      <c r="F57" t="s">
        <v>1375</v>
      </c>
      <c r="G57" t="s">
        <v>1704</v>
      </c>
      <c r="H57" t="s">
        <v>1381</v>
      </c>
      <c r="I57" t="s">
        <v>1390</v>
      </c>
      <c r="J57" t="s">
        <v>1394</v>
      </c>
      <c r="K57" t="s">
        <v>1398</v>
      </c>
      <c r="L57" t="s">
        <v>1456</v>
      </c>
      <c r="M57" s="3">
        <v>353.61</v>
      </c>
      <c r="N57">
        <v>8</v>
      </c>
      <c r="O57" s="3">
        <v>0</v>
      </c>
      <c r="P57" s="3">
        <v>50.81</v>
      </c>
      <c r="Q57" s="3">
        <f>Table1_1[[#This Row],[Sales]]/Table1_1[[#This Row],[Quantity]]</f>
        <v>44.201250000000002</v>
      </c>
    </row>
    <row r="58" spans="1:17" x14ac:dyDescent="0.3">
      <c r="A58" t="s">
        <v>71</v>
      </c>
      <c r="B58" s="2">
        <f t="shared" si="0"/>
        <v>44598</v>
      </c>
      <c r="C58" t="s">
        <v>1739</v>
      </c>
      <c r="D58" s="2">
        <v>44719</v>
      </c>
      <c r="E58" t="s">
        <v>1372</v>
      </c>
      <c r="F58" t="s">
        <v>1375</v>
      </c>
      <c r="G58" t="s">
        <v>1704</v>
      </c>
      <c r="H58" t="s">
        <v>1382</v>
      </c>
      <c r="I58" t="s">
        <v>1391</v>
      </c>
      <c r="J58" t="s">
        <v>1392</v>
      </c>
      <c r="K58" t="s">
        <v>1401</v>
      </c>
      <c r="L58" t="s">
        <v>1457</v>
      </c>
      <c r="M58" s="3">
        <v>90.37</v>
      </c>
      <c r="N58">
        <v>5</v>
      </c>
      <c r="O58" s="3">
        <v>0</v>
      </c>
      <c r="P58" s="3">
        <v>15.77</v>
      </c>
      <c r="Q58" s="3">
        <f>Table1_1[[#This Row],[Sales]]/Table1_1[[#This Row],[Quantity]]</f>
        <v>18.074000000000002</v>
      </c>
    </row>
    <row r="59" spans="1:17" x14ac:dyDescent="0.3">
      <c r="A59" t="s">
        <v>72</v>
      </c>
      <c r="B59" s="2">
        <f t="shared" si="0"/>
        <v>44974</v>
      </c>
      <c r="C59" t="s">
        <v>572</v>
      </c>
      <c r="D59" s="2">
        <v>44979</v>
      </c>
      <c r="E59" t="s">
        <v>1362</v>
      </c>
      <c r="F59" t="s">
        <v>1376</v>
      </c>
      <c r="G59" t="s">
        <v>1379</v>
      </c>
      <c r="H59" t="s">
        <v>1381</v>
      </c>
      <c r="I59" t="s">
        <v>1390</v>
      </c>
      <c r="J59" t="s">
        <v>1393</v>
      </c>
      <c r="K59" t="s">
        <v>1396</v>
      </c>
      <c r="L59" t="s">
        <v>1458</v>
      </c>
      <c r="M59" s="3">
        <v>602.67999999999995</v>
      </c>
      <c r="N59">
        <v>2</v>
      </c>
      <c r="O59" s="3">
        <v>0</v>
      </c>
      <c r="P59" s="3">
        <v>-108.52</v>
      </c>
      <c r="Q59" s="3">
        <f>Table1_1[[#This Row],[Sales]]/Table1_1[[#This Row],[Quantity]]</f>
        <v>301.33999999999997</v>
      </c>
    </row>
    <row r="60" spans="1:17" x14ac:dyDescent="0.3">
      <c r="A60" t="s">
        <v>73</v>
      </c>
      <c r="B60" s="2">
        <f t="shared" si="0"/>
        <v>45418</v>
      </c>
      <c r="C60" t="s">
        <v>1740</v>
      </c>
      <c r="D60" s="2">
        <v>45428</v>
      </c>
      <c r="E60" t="s">
        <v>1365</v>
      </c>
      <c r="F60" t="s">
        <v>1374</v>
      </c>
      <c r="G60" t="s">
        <v>1704</v>
      </c>
      <c r="H60" t="s">
        <v>1384</v>
      </c>
      <c r="I60" t="s">
        <v>1390</v>
      </c>
      <c r="J60" t="s">
        <v>1393</v>
      </c>
      <c r="K60" t="s">
        <v>1400</v>
      </c>
      <c r="L60" t="s">
        <v>1459</v>
      </c>
      <c r="M60" s="3">
        <v>1199.5</v>
      </c>
      <c r="N60">
        <v>5</v>
      </c>
      <c r="O60" s="3">
        <v>0</v>
      </c>
      <c r="P60" s="3">
        <v>-215.77</v>
      </c>
      <c r="Q60" s="3">
        <f>Table1_1[[#This Row],[Sales]]/Table1_1[[#This Row],[Quantity]]</f>
        <v>239.9</v>
      </c>
    </row>
    <row r="61" spans="1:17" x14ac:dyDescent="0.3">
      <c r="A61" t="s">
        <v>74</v>
      </c>
      <c r="B61" s="2">
        <f t="shared" si="0"/>
        <v>45008</v>
      </c>
      <c r="C61" t="s">
        <v>1741</v>
      </c>
      <c r="D61" s="2">
        <v>45016</v>
      </c>
      <c r="E61" t="s">
        <v>1372</v>
      </c>
      <c r="F61" t="s">
        <v>1374</v>
      </c>
      <c r="G61" t="s">
        <v>1704</v>
      </c>
      <c r="H61" t="s">
        <v>1384</v>
      </c>
      <c r="I61" t="s">
        <v>1389</v>
      </c>
      <c r="J61" t="s">
        <v>1392</v>
      </c>
      <c r="K61" t="s">
        <v>1397</v>
      </c>
      <c r="L61" t="s">
        <v>1460</v>
      </c>
      <c r="M61" s="3">
        <v>430.59</v>
      </c>
      <c r="N61">
        <v>6</v>
      </c>
      <c r="O61" s="3">
        <v>0.15</v>
      </c>
      <c r="P61" s="3">
        <v>58.16</v>
      </c>
      <c r="Q61" s="3">
        <f>Table1_1[[#This Row],[Sales]]/Table1_1[[#This Row],[Quantity]]</f>
        <v>71.765000000000001</v>
      </c>
    </row>
    <row r="62" spans="1:17" x14ac:dyDescent="0.3">
      <c r="A62" t="s">
        <v>75</v>
      </c>
      <c r="B62" s="2">
        <f t="shared" si="0"/>
        <v>45125</v>
      </c>
      <c r="C62" t="s">
        <v>575</v>
      </c>
      <c r="D62" s="2">
        <v>45126</v>
      </c>
      <c r="E62" t="s">
        <v>1359</v>
      </c>
      <c r="F62" t="s">
        <v>1374</v>
      </c>
      <c r="G62" t="s">
        <v>1704</v>
      </c>
      <c r="H62" t="s">
        <v>1385</v>
      </c>
      <c r="I62" t="s">
        <v>1388</v>
      </c>
      <c r="J62" t="s">
        <v>1394</v>
      </c>
      <c r="K62" t="s">
        <v>1402</v>
      </c>
      <c r="L62" t="s">
        <v>1461</v>
      </c>
      <c r="M62" s="3">
        <v>391.13</v>
      </c>
      <c r="N62">
        <v>6</v>
      </c>
      <c r="O62" s="3">
        <v>0</v>
      </c>
      <c r="P62" s="3">
        <v>111.51</v>
      </c>
      <c r="Q62" s="3">
        <f>Table1_1[[#This Row],[Sales]]/Table1_1[[#This Row],[Quantity]]</f>
        <v>65.188333333333333</v>
      </c>
    </row>
    <row r="63" spans="1:17" x14ac:dyDescent="0.3">
      <c r="A63" t="s">
        <v>76</v>
      </c>
      <c r="B63" s="2">
        <f t="shared" si="0"/>
        <v>45092</v>
      </c>
      <c r="C63" t="s">
        <v>1742</v>
      </c>
      <c r="D63" s="2">
        <v>45098</v>
      </c>
      <c r="E63" t="s">
        <v>1372</v>
      </c>
      <c r="F63" t="s">
        <v>1374</v>
      </c>
      <c r="G63" t="s">
        <v>1704</v>
      </c>
      <c r="H63" t="s">
        <v>1381</v>
      </c>
      <c r="I63" t="s">
        <v>1388</v>
      </c>
      <c r="J63" t="s">
        <v>1393</v>
      </c>
      <c r="K63" t="s">
        <v>1399</v>
      </c>
      <c r="L63" t="s">
        <v>1462</v>
      </c>
      <c r="M63" s="3">
        <v>757.98</v>
      </c>
      <c r="N63">
        <v>1</v>
      </c>
      <c r="O63" s="3">
        <v>0.1</v>
      </c>
      <c r="P63" s="3">
        <v>-50.38</v>
      </c>
      <c r="Q63" s="3">
        <f>Table1_1[[#This Row],[Sales]]/Table1_1[[#This Row],[Quantity]]</f>
        <v>757.98</v>
      </c>
    </row>
    <row r="64" spans="1:17" x14ac:dyDescent="0.3">
      <c r="A64" t="s">
        <v>77</v>
      </c>
      <c r="B64" s="2">
        <f t="shared" si="0"/>
        <v>45185</v>
      </c>
      <c r="C64" t="s">
        <v>1743</v>
      </c>
      <c r="D64" s="2">
        <v>45189</v>
      </c>
      <c r="E64" t="s">
        <v>1366</v>
      </c>
      <c r="F64" t="s">
        <v>1375</v>
      </c>
      <c r="G64" t="s">
        <v>1704</v>
      </c>
      <c r="H64" t="s">
        <v>1385</v>
      </c>
      <c r="I64" t="s">
        <v>1391</v>
      </c>
      <c r="J64" t="s">
        <v>1393</v>
      </c>
      <c r="K64" t="s">
        <v>1400</v>
      </c>
      <c r="L64" t="s">
        <v>1463</v>
      </c>
      <c r="M64" s="3">
        <v>386.69</v>
      </c>
      <c r="N64">
        <v>1</v>
      </c>
      <c r="O64" s="3">
        <v>0</v>
      </c>
      <c r="P64" s="3">
        <v>1.54</v>
      </c>
      <c r="Q64" s="3">
        <f>Table1_1[[#This Row],[Sales]]/Table1_1[[#This Row],[Quantity]]</f>
        <v>386.69</v>
      </c>
    </row>
    <row r="65" spans="1:17" x14ac:dyDescent="0.3">
      <c r="A65" t="s">
        <v>78</v>
      </c>
      <c r="B65" s="2">
        <f t="shared" si="0"/>
        <v>45284</v>
      </c>
      <c r="C65" t="s">
        <v>578</v>
      </c>
      <c r="D65" s="2">
        <v>45289</v>
      </c>
      <c r="E65" t="s">
        <v>1370</v>
      </c>
      <c r="F65" t="s">
        <v>1374</v>
      </c>
      <c r="G65" t="s">
        <v>1704</v>
      </c>
      <c r="H65" t="s">
        <v>1386</v>
      </c>
      <c r="I65" t="s">
        <v>1388</v>
      </c>
      <c r="J65" t="s">
        <v>1394</v>
      </c>
      <c r="K65" t="s">
        <v>1403</v>
      </c>
      <c r="L65" t="s">
        <v>1450</v>
      </c>
      <c r="M65" s="3">
        <v>1176.69</v>
      </c>
      <c r="N65">
        <v>4</v>
      </c>
      <c r="O65" s="3">
        <v>0.2</v>
      </c>
      <c r="P65" s="3">
        <v>89</v>
      </c>
      <c r="Q65" s="3">
        <f>Table1_1[[#This Row],[Sales]]/Table1_1[[#This Row],[Quantity]]</f>
        <v>294.17250000000001</v>
      </c>
    </row>
    <row r="66" spans="1:17" x14ac:dyDescent="0.3">
      <c r="A66" t="s">
        <v>79</v>
      </c>
      <c r="B66" s="2">
        <f t="shared" ref="B66:B71" si="1">DATEVALUE(C66)</f>
        <v>45325</v>
      </c>
      <c r="C66" t="s">
        <v>1744</v>
      </c>
      <c r="D66" s="2">
        <v>45360</v>
      </c>
      <c r="E66" t="s">
        <v>1364</v>
      </c>
      <c r="F66" t="s">
        <v>1376</v>
      </c>
      <c r="G66" t="s">
        <v>1704</v>
      </c>
      <c r="H66" t="s">
        <v>1385</v>
      </c>
      <c r="I66" t="s">
        <v>1389</v>
      </c>
      <c r="J66" t="s">
        <v>1394</v>
      </c>
      <c r="K66" t="s">
        <v>1398</v>
      </c>
      <c r="L66" t="s">
        <v>1464</v>
      </c>
      <c r="M66" s="3">
        <v>335.26</v>
      </c>
      <c r="N66">
        <v>1</v>
      </c>
      <c r="O66" s="3">
        <v>0.15</v>
      </c>
      <c r="P66" s="3">
        <v>54.66</v>
      </c>
      <c r="Q66" s="3">
        <f>Table1_1[[#This Row],[Sales]]/Table1_1[[#This Row],[Quantity]]</f>
        <v>335.26</v>
      </c>
    </row>
    <row r="67" spans="1:17" x14ac:dyDescent="0.3">
      <c r="A67" t="s">
        <v>80</v>
      </c>
      <c r="B67" s="2">
        <f t="shared" si="1"/>
        <v>44902</v>
      </c>
      <c r="C67" t="s">
        <v>1745</v>
      </c>
      <c r="D67" s="2">
        <v>44911</v>
      </c>
      <c r="E67" t="s">
        <v>1360</v>
      </c>
      <c r="F67" t="s">
        <v>1375</v>
      </c>
      <c r="G67" t="s">
        <v>1704</v>
      </c>
      <c r="H67" t="s">
        <v>1381</v>
      </c>
      <c r="I67" t="s">
        <v>1391</v>
      </c>
      <c r="J67" t="s">
        <v>1393</v>
      </c>
      <c r="K67" t="s">
        <v>1399</v>
      </c>
      <c r="L67" t="s">
        <v>1465</v>
      </c>
      <c r="M67" s="3">
        <v>557.30999999999995</v>
      </c>
      <c r="N67">
        <v>6</v>
      </c>
      <c r="O67" s="3">
        <v>0.1</v>
      </c>
      <c r="P67" s="3">
        <v>161.84</v>
      </c>
      <c r="Q67" s="3">
        <f>Table1_1[[#This Row],[Sales]]/Table1_1[[#This Row],[Quantity]]</f>
        <v>92.884999999999991</v>
      </c>
    </row>
    <row r="68" spans="1:17" x14ac:dyDescent="0.3">
      <c r="A68" t="s">
        <v>81</v>
      </c>
      <c r="B68" s="2">
        <f t="shared" si="1"/>
        <v>45046</v>
      </c>
      <c r="C68" t="s">
        <v>1746</v>
      </c>
      <c r="D68" s="2">
        <v>45053</v>
      </c>
      <c r="E68" t="s">
        <v>1364</v>
      </c>
      <c r="F68" t="s">
        <v>1376</v>
      </c>
      <c r="G68" t="s">
        <v>1379</v>
      </c>
      <c r="H68" t="s">
        <v>1386</v>
      </c>
      <c r="I68" t="s">
        <v>1389</v>
      </c>
      <c r="J68" t="s">
        <v>1394</v>
      </c>
      <c r="K68" t="s">
        <v>1398</v>
      </c>
      <c r="L68" t="s">
        <v>1407</v>
      </c>
      <c r="M68" s="3">
        <v>955.02</v>
      </c>
      <c r="N68">
        <v>3</v>
      </c>
      <c r="O68" s="3">
        <v>0.2</v>
      </c>
      <c r="P68" s="3">
        <v>269.70999999999998</v>
      </c>
      <c r="Q68" s="3">
        <f>Table1_1[[#This Row],[Sales]]/Table1_1[[#This Row],[Quantity]]</f>
        <v>318.33999999999997</v>
      </c>
    </row>
    <row r="69" spans="1:17" x14ac:dyDescent="0.3">
      <c r="A69" t="s">
        <v>82</v>
      </c>
      <c r="B69" s="2">
        <f t="shared" si="1"/>
        <v>45100</v>
      </c>
      <c r="C69" t="s">
        <v>582</v>
      </c>
      <c r="D69" s="2">
        <v>45108</v>
      </c>
      <c r="E69" t="s">
        <v>1362</v>
      </c>
      <c r="F69" t="s">
        <v>1374</v>
      </c>
      <c r="G69" t="s">
        <v>1704</v>
      </c>
      <c r="H69" t="s">
        <v>1382</v>
      </c>
      <c r="I69" t="s">
        <v>1388</v>
      </c>
      <c r="J69" t="s">
        <v>1392</v>
      </c>
      <c r="K69" t="s">
        <v>1395</v>
      </c>
      <c r="L69" t="s">
        <v>1466</v>
      </c>
      <c r="M69" s="3">
        <v>190.1</v>
      </c>
      <c r="N69">
        <v>3</v>
      </c>
      <c r="O69" s="3">
        <v>0</v>
      </c>
      <c r="P69" s="3">
        <v>6.61</v>
      </c>
      <c r="Q69" s="3">
        <f>Table1_1[[#This Row],[Sales]]/Table1_1[[#This Row],[Quantity]]</f>
        <v>63.366666666666667</v>
      </c>
    </row>
    <row r="70" spans="1:17" x14ac:dyDescent="0.3">
      <c r="A70" t="s">
        <v>83</v>
      </c>
      <c r="B70" s="2">
        <f t="shared" si="1"/>
        <v>45434</v>
      </c>
      <c r="C70" t="s">
        <v>1747</v>
      </c>
      <c r="D70" s="2">
        <v>45443</v>
      </c>
      <c r="E70" t="s">
        <v>1370</v>
      </c>
      <c r="F70" t="s">
        <v>1374</v>
      </c>
      <c r="G70" t="s">
        <v>1379</v>
      </c>
      <c r="H70" t="s">
        <v>1387</v>
      </c>
      <c r="I70" t="s">
        <v>1388</v>
      </c>
      <c r="J70" t="s">
        <v>1394</v>
      </c>
      <c r="K70" t="s">
        <v>1403</v>
      </c>
      <c r="L70" t="s">
        <v>1467</v>
      </c>
      <c r="M70" s="3">
        <v>759.62</v>
      </c>
      <c r="N70">
        <v>8</v>
      </c>
      <c r="O70" s="3">
        <v>0</v>
      </c>
      <c r="P70" s="3">
        <v>-138.29</v>
      </c>
      <c r="Q70" s="3">
        <f>Table1_1[[#This Row],[Sales]]/Table1_1[[#This Row],[Quantity]]</f>
        <v>94.952500000000001</v>
      </c>
    </row>
    <row r="71" spans="1:17" x14ac:dyDescent="0.3">
      <c r="A71" t="s">
        <v>84</v>
      </c>
      <c r="B71" s="2">
        <f t="shared" si="1"/>
        <v>44662</v>
      </c>
      <c r="C71" t="s">
        <v>1748</v>
      </c>
      <c r="D71" s="2">
        <v>44664</v>
      </c>
      <c r="E71" t="s">
        <v>1372</v>
      </c>
      <c r="F71" t="s">
        <v>1376</v>
      </c>
      <c r="G71" t="s">
        <v>1704</v>
      </c>
      <c r="H71" t="s">
        <v>1387</v>
      </c>
      <c r="I71" t="s">
        <v>1390</v>
      </c>
      <c r="J71" t="s">
        <v>1394</v>
      </c>
      <c r="K71" t="s">
        <v>1402</v>
      </c>
      <c r="L71" t="s">
        <v>1468</v>
      </c>
      <c r="M71" s="3">
        <v>838.92</v>
      </c>
      <c r="N71">
        <v>1</v>
      </c>
      <c r="O71" s="3">
        <v>0</v>
      </c>
      <c r="P71" s="3">
        <v>-31.72</v>
      </c>
      <c r="Q71" s="3">
        <f>Table1_1[[#This Row],[Sales]]/Table1_1[[#This Row],[Quantity]]</f>
        <v>838.92</v>
      </c>
    </row>
    <row r="72" spans="1:17" hidden="1" x14ac:dyDescent="0.3">
      <c r="A72" t="s">
        <v>85</v>
      </c>
      <c r="B72" s="2" t="e">
        <f t="shared" ref="B72:B129" si="2">DATEVALUE(C72)</f>
        <v>#VALUE!</v>
      </c>
      <c r="C72" t="s">
        <v>1749</v>
      </c>
      <c r="D72" s="2">
        <v>44993</v>
      </c>
      <c r="E72" t="s">
        <v>1368</v>
      </c>
      <c r="F72" t="s">
        <v>1374</v>
      </c>
      <c r="G72" t="s">
        <v>1704</v>
      </c>
      <c r="H72" t="s">
        <v>1387</v>
      </c>
      <c r="I72" t="s">
        <v>1389</v>
      </c>
      <c r="J72" t="s">
        <v>1393</v>
      </c>
      <c r="K72" t="s">
        <v>1400</v>
      </c>
      <c r="L72" t="s">
        <v>1469</v>
      </c>
      <c r="M72" s="3">
        <v>220.58</v>
      </c>
      <c r="N72">
        <v>2</v>
      </c>
      <c r="O72" s="3">
        <v>0</v>
      </c>
      <c r="P72" s="3">
        <v>51.93</v>
      </c>
      <c r="Q72" s="3">
        <f>Table1_1[[#This Row],[Sales]]/Table1_1[[#This Row],[Quantity]]</f>
        <v>110.29</v>
      </c>
    </row>
    <row r="73" spans="1:17" x14ac:dyDescent="0.3">
      <c r="A73" t="s">
        <v>86</v>
      </c>
      <c r="B73" s="2">
        <f t="shared" si="2"/>
        <v>44822</v>
      </c>
      <c r="C73" t="s">
        <v>1750</v>
      </c>
      <c r="D73" s="2">
        <v>44830</v>
      </c>
      <c r="E73" t="s">
        <v>1366</v>
      </c>
      <c r="F73" t="s">
        <v>1376</v>
      </c>
      <c r="G73" t="s">
        <v>1379</v>
      </c>
      <c r="H73" t="s">
        <v>1382</v>
      </c>
      <c r="I73" t="s">
        <v>1389</v>
      </c>
      <c r="J73" t="s">
        <v>1394</v>
      </c>
      <c r="K73" t="s">
        <v>1398</v>
      </c>
      <c r="L73" t="s">
        <v>1470</v>
      </c>
      <c r="M73" s="3">
        <v>31.09</v>
      </c>
      <c r="N73">
        <v>8</v>
      </c>
      <c r="O73" s="3">
        <v>0.15</v>
      </c>
      <c r="P73" s="3">
        <v>4.32</v>
      </c>
      <c r="Q73" s="3">
        <f>Table1_1[[#This Row],[Sales]]/Table1_1[[#This Row],[Quantity]]</f>
        <v>3.88625</v>
      </c>
    </row>
    <row r="74" spans="1:17" hidden="1" x14ac:dyDescent="0.3">
      <c r="A74" t="s">
        <v>87</v>
      </c>
      <c r="B74" s="2" t="e">
        <f t="shared" si="2"/>
        <v>#VALUE!</v>
      </c>
      <c r="C74" t="s">
        <v>1751</v>
      </c>
      <c r="D74" s="2">
        <v>44826</v>
      </c>
      <c r="E74" t="s">
        <v>1362</v>
      </c>
      <c r="F74" t="s">
        <v>1376</v>
      </c>
      <c r="G74" t="s">
        <v>1379</v>
      </c>
      <c r="H74" t="s">
        <v>1381</v>
      </c>
      <c r="I74" t="s">
        <v>1389</v>
      </c>
      <c r="J74" t="s">
        <v>1394</v>
      </c>
      <c r="K74" t="s">
        <v>1402</v>
      </c>
      <c r="L74" t="s">
        <v>1471</v>
      </c>
      <c r="M74" s="3">
        <v>1199.26</v>
      </c>
      <c r="N74">
        <v>8</v>
      </c>
      <c r="O74" s="3">
        <v>0</v>
      </c>
      <c r="P74" s="3">
        <v>-97.62</v>
      </c>
      <c r="Q74" s="3">
        <f>Table1_1[[#This Row],[Sales]]/Table1_1[[#This Row],[Quantity]]</f>
        <v>149.9075</v>
      </c>
    </row>
    <row r="75" spans="1:17" x14ac:dyDescent="0.3">
      <c r="A75" t="s">
        <v>88</v>
      </c>
      <c r="B75" s="2">
        <f t="shared" si="2"/>
        <v>44570</v>
      </c>
      <c r="C75" t="s">
        <v>588</v>
      </c>
      <c r="D75" s="2">
        <v>44580</v>
      </c>
      <c r="E75" t="s">
        <v>1370</v>
      </c>
      <c r="F75" t="s">
        <v>1376</v>
      </c>
      <c r="G75" t="s">
        <v>1704</v>
      </c>
      <c r="H75" t="s">
        <v>1382</v>
      </c>
      <c r="I75" t="s">
        <v>1390</v>
      </c>
      <c r="J75" t="s">
        <v>1393</v>
      </c>
      <c r="K75" t="s">
        <v>1396</v>
      </c>
      <c r="L75" t="s">
        <v>1454</v>
      </c>
      <c r="M75" s="3">
        <v>1168.8499999999999</v>
      </c>
      <c r="N75">
        <v>10</v>
      </c>
      <c r="O75" s="3">
        <v>0.2</v>
      </c>
      <c r="P75" s="3">
        <v>252.96</v>
      </c>
      <c r="Q75" s="3">
        <f>Table1_1[[#This Row],[Sales]]/Table1_1[[#This Row],[Quantity]]</f>
        <v>116.88499999999999</v>
      </c>
    </row>
    <row r="76" spans="1:17" x14ac:dyDescent="0.3">
      <c r="A76" t="s">
        <v>89</v>
      </c>
      <c r="B76" s="2">
        <f t="shared" si="2"/>
        <v>44818</v>
      </c>
      <c r="C76" t="s">
        <v>1752</v>
      </c>
      <c r="D76" s="2">
        <v>44821</v>
      </c>
      <c r="E76" t="s">
        <v>1360</v>
      </c>
      <c r="F76" t="s">
        <v>1374</v>
      </c>
      <c r="G76" t="s">
        <v>1704</v>
      </c>
      <c r="H76" t="s">
        <v>1381</v>
      </c>
      <c r="I76" t="s">
        <v>1391</v>
      </c>
      <c r="J76" t="s">
        <v>1393</v>
      </c>
      <c r="K76" t="s">
        <v>1400</v>
      </c>
      <c r="L76" t="s">
        <v>1472</v>
      </c>
      <c r="M76" s="3">
        <v>1086.02</v>
      </c>
      <c r="N76">
        <v>1</v>
      </c>
      <c r="O76" s="3">
        <v>0.15</v>
      </c>
      <c r="P76" s="3">
        <v>211.02</v>
      </c>
      <c r="Q76" s="3">
        <f>Table1_1[[#This Row],[Sales]]/Table1_1[[#This Row],[Quantity]]</f>
        <v>1086.02</v>
      </c>
    </row>
    <row r="77" spans="1:17" x14ac:dyDescent="0.3">
      <c r="A77" t="s">
        <v>90</v>
      </c>
      <c r="B77" s="2">
        <f t="shared" si="2"/>
        <v>45327</v>
      </c>
      <c r="C77" t="s">
        <v>590</v>
      </c>
      <c r="D77" s="2">
        <v>45334</v>
      </c>
      <c r="E77" t="s">
        <v>1368</v>
      </c>
      <c r="F77" t="s">
        <v>1376</v>
      </c>
      <c r="G77" t="s">
        <v>1379</v>
      </c>
      <c r="H77" t="s">
        <v>1382</v>
      </c>
      <c r="I77" t="s">
        <v>1391</v>
      </c>
      <c r="J77" t="s">
        <v>1392</v>
      </c>
      <c r="K77" t="s">
        <v>1401</v>
      </c>
      <c r="L77" t="s">
        <v>1453</v>
      </c>
      <c r="M77" s="3">
        <v>175.95</v>
      </c>
      <c r="N77">
        <v>9</v>
      </c>
      <c r="O77" s="3">
        <v>0.15</v>
      </c>
      <c r="P77" s="3">
        <v>11.51</v>
      </c>
      <c r="Q77" s="3">
        <f>Table1_1[[#This Row],[Sales]]/Table1_1[[#This Row],[Quantity]]</f>
        <v>19.549999999999997</v>
      </c>
    </row>
    <row r="78" spans="1:17" x14ac:dyDescent="0.3">
      <c r="A78" t="s">
        <v>91</v>
      </c>
      <c r="B78" s="2">
        <f t="shared" si="2"/>
        <v>45041</v>
      </c>
      <c r="C78" t="s">
        <v>591</v>
      </c>
      <c r="D78" s="2">
        <v>45043</v>
      </c>
      <c r="E78" t="s">
        <v>1366</v>
      </c>
      <c r="F78" t="s">
        <v>1374</v>
      </c>
      <c r="G78" t="s">
        <v>1379</v>
      </c>
      <c r="H78" t="s">
        <v>1385</v>
      </c>
      <c r="I78" t="s">
        <v>1391</v>
      </c>
      <c r="J78" t="s">
        <v>1392</v>
      </c>
      <c r="K78" t="s">
        <v>1401</v>
      </c>
      <c r="L78" t="s">
        <v>1473</v>
      </c>
      <c r="M78" s="3">
        <v>1034.97</v>
      </c>
      <c r="N78">
        <v>7</v>
      </c>
      <c r="O78" s="3">
        <v>0</v>
      </c>
      <c r="P78" s="3">
        <v>-17.71</v>
      </c>
      <c r="Q78" s="3">
        <f>Table1_1[[#This Row],[Sales]]/Table1_1[[#This Row],[Quantity]]</f>
        <v>147.85285714285715</v>
      </c>
    </row>
    <row r="79" spans="1:17" x14ac:dyDescent="0.3">
      <c r="A79" t="s">
        <v>92</v>
      </c>
      <c r="B79" s="2">
        <f t="shared" si="2"/>
        <v>45328</v>
      </c>
      <c r="C79" t="s">
        <v>592</v>
      </c>
      <c r="D79" s="2">
        <v>45333</v>
      </c>
      <c r="E79" t="s">
        <v>1361</v>
      </c>
      <c r="F79" t="s">
        <v>1374</v>
      </c>
      <c r="G79" t="s">
        <v>1379</v>
      </c>
      <c r="H79" t="s">
        <v>1383</v>
      </c>
      <c r="I79" t="s">
        <v>1390</v>
      </c>
      <c r="J79" t="s">
        <v>1393</v>
      </c>
      <c r="K79" t="s">
        <v>1399</v>
      </c>
      <c r="L79" t="s">
        <v>1448</v>
      </c>
      <c r="M79" s="3">
        <v>990.45</v>
      </c>
      <c r="N79">
        <v>6</v>
      </c>
      <c r="O79" s="3">
        <v>0</v>
      </c>
      <c r="P79" s="3">
        <v>136.11000000000001</v>
      </c>
      <c r="Q79" s="3">
        <f>Table1_1[[#This Row],[Sales]]/Table1_1[[#This Row],[Quantity]]</f>
        <v>165.07500000000002</v>
      </c>
    </row>
    <row r="80" spans="1:17" x14ac:dyDescent="0.3">
      <c r="A80" t="s">
        <v>93</v>
      </c>
      <c r="B80" s="2">
        <f t="shared" si="2"/>
        <v>44626</v>
      </c>
      <c r="C80" t="s">
        <v>1753</v>
      </c>
      <c r="D80" s="2">
        <v>44634</v>
      </c>
      <c r="E80" t="s">
        <v>1372</v>
      </c>
      <c r="F80" t="s">
        <v>1375</v>
      </c>
      <c r="G80" t="s">
        <v>1379</v>
      </c>
      <c r="H80" t="s">
        <v>1387</v>
      </c>
      <c r="I80" t="s">
        <v>1390</v>
      </c>
      <c r="J80" t="s">
        <v>1393</v>
      </c>
      <c r="K80" t="s">
        <v>1399</v>
      </c>
      <c r="L80" t="s">
        <v>1474</v>
      </c>
      <c r="M80" s="3">
        <v>786.1</v>
      </c>
      <c r="N80">
        <v>2</v>
      </c>
      <c r="O80" s="3">
        <v>0.1</v>
      </c>
      <c r="P80" s="3">
        <v>-139.4</v>
      </c>
      <c r="Q80" s="3">
        <f>Table1_1[[#This Row],[Sales]]/Table1_1[[#This Row],[Quantity]]</f>
        <v>393.05</v>
      </c>
    </row>
    <row r="81" spans="1:17" x14ac:dyDescent="0.3">
      <c r="A81" t="s">
        <v>94</v>
      </c>
      <c r="B81" s="2">
        <f t="shared" si="2"/>
        <v>45203</v>
      </c>
      <c r="C81" t="s">
        <v>1754</v>
      </c>
      <c r="D81" s="2">
        <v>45032</v>
      </c>
      <c r="E81" t="s">
        <v>1368</v>
      </c>
      <c r="F81" t="s">
        <v>1374</v>
      </c>
      <c r="G81" t="s">
        <v>1379</v>
      </c>
      <c r="H81" t="s">
        <v>1386</v>
      </c>
      <c r="I81" t="s">
        <v>1389</v>
      </c>
      <c r="J81" t="s">
        <v>1393</v>
      </c>
      <c r="K81" t="s">
        <v>1396</v>
      </c>
      <c r="L81" t="s">
        <v>1454</v>
      </c>
      <c r="M81" s="3">
        <v>841.85</v>
      </c>
      <c r="N81">
        <v>9</v>
      </c>
      <c r="O81" s="3">
        <v>0.2</v>
      </c>
      <c r="P81" s="3">
        <v>78.86</v>
      </c>
      <c r="Q81" s="3">
        <f>Table1_1[[#This Row],[Sales]]/Table1_1[[#This Row],[Quantity]]</f>
        <v>93.538888888888891</v>
      </c>
    </row>
    <row r="82" spans="1:17" x14ac:dyDescent="0.3">
      <c r="A82" t="s">
        <v>95</v>
      </c>
      <c r="B82" s="2">
        <f t="shared" si="2"/>
        <v>44979</v>
      </c>
      <c r="C82" t="s">
        <v>595</v>
      </c>
      <c r="D82" s="2">
        <v>44984</v>
      </c>
      <c r="E82" t="s">
        <v>1361</v>
      </c>
      <c r="F82" t="s">
        <v>1376</v>
      </c>
      <c r="G82" t="s">
        <v>1379</v>
      </c>
      <c r="H82" t="s">
        <v>1381</v>
      </c>
      <c r="I82" t="s">
        <v>1389</v>
      </c>
      <c r="J82" t="s">
        <v>1392</v>
      </c>
      <c r="K82" t="s">
        <v>1395</v>
      </c>
      <c r="L82" t="s">
        <v>1475</v>
      </c>
      <c r="M82" s="3">
        <v>457.23</v>
      </c>
      <c r="N82">
        <v>8</v>
      </c>
      <c r="O82" s="3">
        <v>0.2</v>
      </c>
      <c r="P82" s="3">
        <v>125.87</v>
      </c>
      <c r="Q82" s="3">
        <f>Table1_1[[#This Row],[Sales]]/Table1_1[[#This Row],[Quantity]]</f>
        <v>57.153750000000002</v>
      </c>
    </row>
    <row r="83" spans="1:17" x14ac:dyDescent="0.3">
      <c r="A83" t="s">
        <v>96</v>
      </c>
      <c r="B83" s="2">
        <f t="shared" si="2"/>
        <v>44756</v>
      </c>
      <c r="C83" t="s">
        <v>596</v>
      </c>
      <c r="D83" s="2">
        <v>44758</v>
      </c>
      <c r="E83" t="s">
        <v>1363</v>
      </c>
      <c r="F83" t="s">
        <v>1374</v>
      </c>
      <c r="G83" t="s">
        <v>1704</v>
      </c>
      <c r="H83" t="s">
        <v>1381</v>
      </c>
      <c r="I83" t="s">
        <v>1390</v>
      </c>
      <c r="J83" t="s">
        <v>1394</v>
      </c>
      <c r="K83" t="s">
        <v>1402</v>
      </c>
      <c r="L83" t="s">
        <v>1476</v>
      </c>
      <c r="M83" s="3">
        <v>802.07</v>
      </c>
      <c r="N83">
        <v>10</v>
      </c>
      <c r="O83" s="3">
        <v>0</v>
      </c>
      <c r="P83" s="3">
        <v>-140.13</v>
      </c>
      <c r="Q83" s="3">
        <f>Table1_1[[#This Row],[Sales]]/Table1_1[[#This Row],[Quantity]]</f>
        <v>80.207000000000008</v>
      </c>
    </row>
    <row r="84" spans="1:17" x14ac:dyDescent="0.3">
      <c r="A84" t="s">
        <v>97</v>
      </c>
      <c r="B84" s="2">
        <f t="shared" si="2"/>
        <v>44783</v>
      </c>
      <c r="C84" t="s">
        <v>1755</v>
      </c>
      <c r="D84" s="2">
        <v>44787</v>
      </c>
      <c r="E84" t="s">
        <v>1370</v>
      </c>
      <c r="F84" t="s">
        <v>1376</v>
      </c>
      <c r="G84" t="s">
        <v>1704</v>
      </c>
      <c r="H84" t="s">
        <v>1381</v>
      </c>
      <c r="I84" t="s">
        <v>1388</v>
      </c>
      <c r="J84" t="s">
        <v>1394</v>
      </c>
      <c r="K84" t="s">
        <v>1402</v>
      </c>
      <c r="L84" t="s">
        <v>1477</v>
      </c>
      <c r="M84" s="3">
        <v>950.6</v>
      </c>
      <c r="N84">
        <v>10</v>
      </c>
      <c r="O84" s="3">
        <v>0</v>
      </c>
      <c r="P84" s="3">
        <v>-58.33</v>
      </c>
      <c r="Q84" s="3">
        <f>Table1_1[[#This Row],[Sales]]/Table1_1[[#This Row],[Quantity]]</f>
        <v>95.06</v>
      </c>
    </row>
    <row r="85" spans="1:17" hidden="1" x14ac:dyDescent="0.3">
      <c r="A85" t="s">
        <v>98</v>
      </c>
      <c r="B85" s="2" t="e">
        <f t="shared" si="2"/>
        <v>#VALUE!</v>
      </c>
      <c r="C85" t="s">
        <v>1756</v>
      </c>
      <c r="D85" s="2">
        <v>44583</v>
      </c>
      <c r="E85" t="s">
        <v>1365</v>
      </c>
      <c r="F85" t="s">
        <v>1375</v>
      </c>
      <c r="G85" t="s">
        <v>1379</v>
      </c>
      <c r="H85" t="s">
        <v>1385</v>
      </c>
      <c r="I85" t="s">
        <v>1389</v>
      </c>
      <c r="J85" t="s">
        <v>1392</v>
      </c>
      <c r="K85" t="s">
        <v>1395</v>
      </c>
      <c r="L85" t="s">
        <v>1478</v>
      </c>
      <c r="M85" s="3">
        <v>402.05</v>
      </c>
      <c r="N85">
        <v>3</v>
      </c>
      <c r="O85" s="3">
        <v>0.15</v>
      </c>
      <c r="P85" s="3">
        <v>-69.88</v>
      </c>
      <c r="Q85" s="3">
        <f>Table1_1[[#This Row],[Sales]]/Table1_1[[#This Row],[Quantity]]</f>
        <v>134.01666666666668</v>
      </c>
    </row>
    <row r="86" spans="1:17" x14ac:dyDescent="0.3">
      <c r="A86" t="s">
        <v>99</v>
      </c>
      <c r="B86" s="2">
        <f t="shared" si="2"/>
        <v>45078</v>
      </c>
      <c r="C86" t="s">
        <v>1757</v>
      </c>
      <c r="D86" s="2">
        <v>44941</v>
      </c>
      <c r="E86" t="s">
        <v>1360</v>
      </c>
      <c r="F86" t="s">
        <v>1376</v>
      </c>
      <c r="G86" t="s">
        <v>1379</v>
      </c>
      <c r="H86" t="s">
        <v>1381</v>
      </c>
      <c r="I86" t="s">
        <v>1389</v>
      </c>
      <c r="J86" t="s">
        <v>1393</v>
      </c>
      <c r="K86" t="s">
        <v>1400</v>
      </c>
      <c r="L86" t="s">
        <v>1479</v>
      </c>
      <c r="M86" s="3">
        <v>553.37</v>
      </c>
      <c r="N86">
        <v>4</v>
      </c>
      <c r="O86" s="3">
        <v>0</v>
      </c>
      <c r="P86" s="3">
        <v>-98.68</v>
      </c>
      <c r="Q86" s="3">
        <f>Table1_1[[#This Row],[Sales]]/Table1_1[[#This Row],[Quantity]]</f>
        <v>138.3425</v>
      </c>
    </row>
    <row r="87" spans="1:17" x14ac:dyDescent="0.3">
      <c r="A87" t="s">
        <v>100</v>
      </c>
      <c r="B87" s="2">
        <f t="shared" si="2"/>
        <v>44998</v>
      </c>
      <c r="C87" t="s">
        <v>1758</v>
      </c>
      <c r="D87" s="2">
        <v>45000</v>
      </c>
      <c r="E87" t="s">
        <v>1369</v>
      </c>
      <c r="F87" t="s">
        <v>1376</v>
      </c>
      <c r="G87" t="s">
        <v>1379</v>
      </c>
      <c r="H87" t="s">
        <v>1385</v>
      </c>
      <c r="I87" t="s">
        <v>1391</v>
      </c>
      <c r="J87" t="s">
        <v>1394</v>
      </c>
      <c r="K87" t="s">
        <v>1398</v>
      </c>
      <c r="L87" t="s">
        <v>1480</v>
      </c>
      <c r="M87" s="3">
        <v>1093.45</v>
      </c>
      <c r="N87">
        <v>2</v>
      </c>
      <c r="O87" s="3">
        <v>0</v>
      </c>
      <c r="P87" s="3">
        <v>-42.58</v>
      </c>
      <c r="Q87" s="3">
        <f>Table1_1[[#This Row],[Sales]]/Table1_1[[#This Row],[Quantity]]</f>
        <v>546.72500000000002</v>
      </c>
    </row>
    <row r="88" spans="1:17" x14ac:dyDescent="0.3">
      <c r="A88" t="s">
        <v>101</v>
      </c>
      <c r="B88" s="2">
        <f t="shared" si="2"/>
        <v>45079</v>
      </c>
      <c r="C88" t="s">
        <v>1759</v>
      </c>
      <c r="D88" s="2">
        <v>45089</v>
      </c>
      <c r="E88" t="s">
        <v>1373</v>
      </c>
      <c r="F88" t="s">
        <v>1375</v>
      </c>
      <c r="G88" t="s">
        <v>1704</v>
      </c>
      <c r="H88" t="s">
        <v>1384</v>
      </c>
      <c r="I88" t="s">
        <v>1389</v>
      </c>
      <c r="J88" t="s">
        <v>1394</v>
      </c>
      <c r="K88" t="s">
        <v>1402</v>
      </c>
      <c r="L88" t="s">
        <v>1481</v>
      </c>
      <c r="M88" s="3">
        <v>955.85</v>
      </c>
      <c r="N88">
        <v>2</v>
      </c>
      <c r="O88" s="3">
        <v>0</v>
      </c>
      <c r="P88" s="3">
        <v>153.34</v>
      </c>
      <c r="Q88" s="3">
        <f>Table1_1[[#This Row],[Sales]]/Table1_1[[#This Row],[Quantity]]</f>
        <v>477.92500000000001</v>
      </c>
    </row>
    <row r="89" spans="1:17" x14ac:dyDescent="0.3">
      <c r="A89" t="s">
        <v>102</v>
      </c>
      <c r="B89" s="2">
        <f t="shared" si="2"/>
        <v>44960</v>
      </c>
      <c r="C89" t="s">
        <v>1760</v>
      </c>
      <c r="D89" s="2">
        <v>44989</v>
      </c>
      <c r="E89" t="s">
        <v>1367</v>
      </c>
      <c r="F89" t="s">
        <v>1375</v>
      </c>
      <c r="G89" t="s">
        <v>1379</v>
      </c>
      <c r="H89" t="s">
        <v>1381</v>
      </c>
      <c r="I89" t="s">
        <v>1389</v>
      </c>
      <c r="J89" t="s">
        <v>1394</v>
      </c>
      <c r="K89" t="s">
        <v>1403</v>
      </c>
      <c r="L89" t="s">
        <v>1482</v>
      </c>
      <c r="M89" s="3">
        <v>388.78</v>
      </c>
      <c r="N89">
        <v>5</v>
      </c>
      <c r="O89" s="3">
        <v>0.15</v>
      </c>
      <c r="P89" s="3">
        <v>107.61</v>
      </c>
      <c r="Q89" s="3">
        <f>Table1_1[[#This Row],[Sales]]/Table1_1[[#This Row],[Quantity]]</f>
        <v>77.756</v>
      </c>
    </row>
    <row r="90" spans="1:17" x14ac:dyDescent="0.3">
      <c r="A90" t="s">
        <v>103</v>
      </c>
      <c r="B90" s="2">
        <f t="shared" si="2"/>
        <v>45324</v>
      </c>
      <c r="C90" t="s">
        <v>1761</v>
      </c>
      <c r="D90" s="2">
        <v>45330</v>
      </c>
      <c r="E90" t="s">
        <v>1373</v>
      </c>
      <c r="F90" t="s">
        <v>1374</v>
      </c>
      <c r="G90" t="s">
        <v>1704</v>
      </c>
      <c r="H90" t="s">
        <v>1386</v>
      </c>
      <c r="I90" t="s">
        <v>1388</v>
      </c>
      <c r="J90" t="s">
        <v>1392</v>
      </c>
      <c r="K90" t="s">
        <v>1395</v>
      </c>
      <c r="L90" t="s">
        <v>1455</v>
      </c>
      <c r="M90" s="3">
        <v>90.78</v>
      </c>
      <c r="N90">
        <v>9</v>
      </c>
      <c r="O90" s="3">
        <v>0</v>
      </c>
      <c r="P90" s="3">
        <v>-3.19</v>
      </c>
      <c r="Q90" s="3">
        <f>Table1_1[[#This Row],[Sales]]/Table1_1[[#This Row],[Quantity]]</f>
        <v>10.086666666666666</v>
      </c>
    </row>
    <row r="91" spans="1:17" x14ac:dyDescent="0.3">
      <c r="A91" t="s">
        <v>104</v>
      </c>
      <c r="B91" s="2">
        <f t="shared" si="2"/>
        <v>45176</v>
      </c>
      <c r="C91" t="s">
        <v>1762</v>
      </c>
      <c r="D91" s="2">
        <v>45181</v>
      </c>
      <c r="E91" t="s">
        <v>1366</v>
      </c>
      <c r="F91" t="s">
        <v>1374</v>
      </c>
      <c r="G91" t="s">
        <v>1379</v>
      </c>
      <c r="H91" t="s">
        <v>1381</v>
      </c>
      <c r="I91" t="s">
        <v>1391</v>
      </c>
      <c r="J91" t="s">
        <v>1394</v>
      </c>
      <c r="K91" t="s">
        <v>1402</v>
      </c>
      <c r="L91" t="s">
        <v>1483</v>
      </c>
      <c r="M91" s="3">
        <v>701.94</v>
      </c>
      <c r="N91">
        <v>4</v>
      </c>
      <c r="O91" s="3">
        <v>0.1</v>
      </c>
      <c r="P91" s="3">
        <v>90.11</v>
      </c>
      <c r="Q91" s="3">
        <f>Table1_1[[#This Row],[Sales]]/Table1_1[[#This Row],[Quantity]]</f>
        <v>175.48500000000001</v>
      </c>
    </row>
    <row r="92" spans="1:17" hidden="1" x14ac:dyDescent="0.3">
      <c r="A92" t="s">
        <v>105</v>
      </c>
      <c r="B92" s="2" t="e">
        <f t="shared" si="2"/>
        <v>#VALUE!</v>
      </c>
      <c r="C92" t="s">
        <v>1763</v>
      </c>
      <c r="D92" s="2">
        <v>44800</v>
      </c>
      <c r="E92" t="s">
        <v>1371</v>
      </c>
      <c r="F92" t="s">
        <v>1375</v>
      </c>
      <c r="G92" t="s">
        <v>1379</v>
      </c>
      <c r="H92" t="s">
        <v>1382</v>
      </c>
      <c r="I92" t="s">
        <v>1391</v>
      </c>
      <c r="J92" t="s">
        <v>1393</v>
      </c>
      <c r="K92" t="s">
        <v>1396</v>
      </c>
      <c r="L92" t="s">
        <v>1405</v>
      </c>
      <c r="M92" s="3">
        <v>744.02</v>
      </c>
      <c r="N92">
        <v>9</v>
      </c>
      <c r="O92" s="3">
        <v>0</v>
      </c>
      <c r="P92" s="3">
        <v>77.75</v>
      </c>
      <c r="Q92" s="3">
        <f>Table1_1[[#This Row],[Sales]]/Table1_1[[#This Row],[Quantity]]</f>
        <v>82.668888888888887</v>
      </c>
    </row>
    <row r="93" spans="1:17" hidden="1" x14ac:dyDescent="0.3">
      <c r="A93" t="s">
        <v>106</v>
      </c>
      <c r="B93" s="2" t="e">
        <f t="shared" si="2"/>
        <v>#VALUE!</v>
      </c>
      <c r="C93" t="s">
        <v>1764</v>
      </c>
      <c r="D93" s="2">
        <v>44922</v>
      </c>
      <c r="E93" t="s">
        <v>1369</v>
      </c>
      <c r="F93" t="s">
        <v>1374</v>
      </c>
      <c r="G93" t="s">
        <v>1704</v>
      </c>
      <c r="H93" t="s">
        <v>1385</v>
      </c>
      <c r="I93" t="s">
        <v>1389</v>
      </c>
      <c r="J93" t="s">
        <v>1392</v>
      </c>
      <c r="K93" t="s">
        <v>1401</v>
      </c>
      <c r="L93" t="s">
        <v>1484</v>
      </c>
      <c r="M93" s="3">
        <v>688.26</v>
      </c>
      <c r="N93">
        <v>7</v>
      </c>
      <c r="O93" s="3">
        <v>0</v>
      </c>
      <c r="P93" s="3">
        <v>-88.83</v>
      </c>
      <c r="Q93" s="3">
        <f>Table1_1[[#This Row],[Sales]]/Table1_1[[#This Row],[Quantity]]</f>
        <v>98.322857142857146</v>
      </c>
    </row>
    <row r="94" spans="1:17" x14ac:dyDescent="0.3">
      <c r="A94" t="s">
        <v>107</v>
      </c>
      <c r="B94" s="2">
        <f t="shared" si="2"/>
        <v>44911</v>
      </c>
      <c r="C94" t="s">
        <v>1765</v>
      </c>
      <c r="D94" s="2">
        <v>44914</v>
      </c>
      <c r="E94" t="s">
        <v>1363</v>
      </c>
      <c r="F94" t="s">
        <v>1374</v>
      </c>
      <c r="G94" t="s">
        <v>1379</v>
      </c>
      <c r="H94" t="s">
        <v>1382</v>
      </c>
      <c r="I94" t="s">
        <v>1388</v>
      </c>
      <c r="J94" t="s">
        <v>1394</v>
      </c>
      <c r="K94" t="s">
        <v>1403</v>
      </c>
      <c r="L94" t="s">
        <v>1450</v>
      </c>
      <c r="M94" s="3">
        <v>871.48</v>
      </c>
      <c r="N94">
        <v>10</v>
      </c>
      <c r="O94" s="3">
        <v>0</v>
      </c>
      <c r="P94" s="3">
        <v>-137.28</v>
      </c>
      <c r="Q94" s="3">
        <f>Table1_1[[#This Row],[Sales]]/Table1_1[[#This Row],[Quantity]]</f>
        <v>87.147999999999996</v>
      </c>
    </row>
    <row r="95" spans="1:17" x14ac:dyDescent="0.3">
      <c r="A95" t="s">
        <v>108</v>
      </c>
      <c r="B95" s="2">
        <f t="shared" si="2"/>
        <v>45015</v>
      </c>
      <c r="C95" t="s">
        <v>1766</v>
      </c>
      <c r="D95" s="2">
        <v>45022</v>
      </c>
      <c r="E95" t="s">
        <v>1372</v>
      </c>
      <c r="F95" t="s">
        <v>1375</v>
      </c>
      <c r="G95" t="s">
        <v>1379</v>
      </c>
      <c r="H95" t="s">
        <v>1382</v>
      </c>
      <c r="I95" t="s">
        <v>1389</v>
      </c>
      <c r="J95" t="s">
        <v>1394</v>
      </c>
      <c r="K95" t="s">
        <v>1398</v>
      </c>
      <c r="L95" t="s">
        <v>1485</v>
      </c>
      <c r="M95" s="3">
        <v>541.61</v>
      </c>
      <c r="N95">
        <v>5</v>
      </c>
      <c r="O95" s="3">
        <v>0.1</v>
      </c>
      <c r="P95" s="3">
        <v>96.12</v>
      </c>
      <c r="Q95" s="3">
        <f>Table1_1[[#This Row],[Sales]]/Table1_1[[#This Row],[Quantity]]</f>
        <v>108.322</v>
      </c>
    </row>
    <row r="96" spans="1:17" x14ac:dyDescent="0.3">
      <c r="A96" t="s">
        <v>109</v>
      </c>
      <c r="B96" s="2">
        <f t="shared" si="2"/>
        <v>45245</v>
      </c>
      <c r="C96" t="s">
        <v>609</v>
      </c>
      <c r="D96" s="2">
        <v>45250</v>
      </c>
      <c r="E96" t="s">
        <v>1363</v>
      </c>
      <c r="F96" t="s">
        <v>1376</v>
      </c>
      <c r="G96" t="s">
        <v>1379</v>
      </c>
      <c r="H96" t="s">
        <v>1384</v>
      </c>
      <c r="I96" t="s">
        <v>1388</v>
      </c>
      <c r="J96" t="s">
        <v>1392</v>
      </c>
      <c r="K96" t="s">
        <v>1401</v>
      </c>
      <c r="L96" t="s">
        <v>1486</v>
      </c>
      <c r="M96" s="3">
        <v>486.41</v>
      </c>
      <c r="N96">
        <v>10</v>
      </c>
      <c r="O96" s="3">
        <v>0</v>
      </c>
      <c r="P96" s="3">
        <v>-95.41</v>
      </c>
      <c r="Q96" s="3">
        <f>Table1_1[[#This Row],[Sales]]/Table1_1[[#This Row],[Quantity]]</f>
        <v>48.641000000000005</v>
      </c>
    </row>
    <row r="97" spans="1:17" hidden="1" x14ac:dyDescent="0.3">
      <c r="A97" t="s">
        <v>110</v>
      </c>
      <c r="B97" s="2" t="e">
        <f t="shared" si="2"/>
        <v>#VALUE!</v>
      </c>
      <c r="C97" t="s">
        <v>1767</v>
      </c>
      <c r="D97" s="2">
        <v>45078</v>
      </c>
      <c r="E97" t="s">
        <v>1371</v>
      </c>
      <c r="F97" t="s">
        <v>1376</v>
      </c>
      <c r="G97" t="s">
        <v>1379</v>
      </c>
      <c r="H97" t="s">
        <v>1385</v>
      </c>
      <c r="I97" t="s">
        <v>1388</v>
      </c>
      <c r="J97" t="s">
        <v>1392</v>
      </c>
      <c r="K97" t="s">
        <v>1401</v>
      </c>
      <c r="L97" t="s">
        <v>1484</v>
      </c>
      <c r="M97" s="3">
        <v>468.64</v>
      </c>
      <c r="N97">
        <v>4</v>
      </c>
      <c r="O97" s="3">
        <v>0</v>
      </c>
      <c r="P97" s="3">
        <v>37.19</v>
      </c>
      <c r="Q97" s="3">
        <f>Table1_1[[#This Row],[Sales]]/Table1_1[[#This Row],[Quantity]]</f>
        <v>117.16</v>
      </c>
    </row>
    <row r="98" spans="1:17" x14ac:dyDescent="0.3">
      <c r="A98" t="s">
        <v>111</v>
      </c>
      <c r="B98" s="2">
        <f t="shared" si="2"/>
        <v>44641</v>
      </c>
      <c r="C98" t="s">
        <v>1768</v>
      </c>
      <c r="D98" s="2">
        <v>44647</v>
      </c>
      <c r="E98" t="s">
        <v>1371</v>
      </c>
      <c r="F98" t="s">
        <v>1374</v>
      </c>
      <c r="G98" t="s">
        <v>1704</v>
      </c>
      <c r="H98" t="s">
        <v>1386</v>
      </c>
      <c r="I98" t="s">
        <v>1391</v>
      </c>
      <c r="J98" t="s">
        <v>1393</v>
      </c>
      <c r="K98" t="s">
        <v>1399</v>
      </c>
      <c r="L98" t="s">
        <v>1487</v>
      </c>
      <c r="M98" s="3">
        <v>696.61</v>
      </c>
      <c r="N98">
        <v>7</v>
      </c>
      <c r="O98" s="3">
        <v>0.15</v>
      </c>
      <c r="P98" s="3">
        <v>-99.21</v>
      </c>
      <c r="Q98" s="3">
        <f>Table1_1[[#This Row],[Sales]]/Table1_1[[#This Row],[Quantity]]</f>
        <v>99.515714285714282</v>
      </c>
    </row>
    <row r="99" spans="1:17" x14ac:dyDescent="0.3">
      <c r="A99" t="s">
        <v>112</v>
      </c>
      <c r="B99" s="2">
        <f t="shared" si="2"/>
        <v>45009</v>
      </c>
      <c r="C99" t="s">
        <v>612</v>
      </c>
      <c r="D99" s="2">
        <v>45011</v>
      </c>
      <c r="E99" t="s">
        <v>1371</v>
      </c>
      <c r="F99" t="s">
        <v>1376</v>
      </c>
      <c r="G99" t="s">
        <v>1704</v>
      </c>
      <c r="H99" t="s">
        <v>1381</v>
      </c>
      <c r="I99" t="s">
        <v>1388</v>
      </c>
      <c r="J99" t="s">
        <v>1392</v>
      </c>
      <c r="K99" t="s">
        <v>1397</v>
      </c>
      <c r="L99" t="s">
        <v>1488</v>
      </c>
      <c r="M99" s="3">
        <v>714.87</v>
      </c>
      <c r="N99">
        <v>9</v>
      </c>
      <c r="O99" s="3">
        <v>0</v>
      </c>
      <c r="P99" s="3">
        <v>-1.51</v>
      </c>
      <c r="Q99" s="3">
        <f>Table1_1[[#This Row],[Sales]]/Table1_1[[#This Row],[Quantity]]</f>
        <v>79.430000000000007</v>
      </c>
    </row>
    <row r="100" spans="1:17" x14ac:dyDescent="0.3">
      <c r="A100" t="s">
        <v>113</v>
      </c>
      <c r="B100" s="2">
        <f t="shared" si="2"/>
        <v>45084</v>
      </c>
      <c r="C100" t="s">
        <v>613</v>
      </c>
      <c r="D100" s="2">
        <v>45088</v>
      </c>
      <c r="E100" t="s">
        <v>1363</v>
      </c>
      <c r="F100" t="s">
        <v>1374</v>
      </c>
      <c r="G100" t="s">
        <v>1704</v>
      </c>
      <c r="H100" t="s">
        <v>1386</v>
      </c>
      <c r="I100" t="s">
        <v>1388</v>
      </c>
      <c r="J100" t="s">
        <v>1394</v>
      </c>
      <c r="K100" t="s">
        <v>1403</v>
      </c>
      <c r="L100" t="s">
        <v>1489</v>
      </c>
      <c r="M100" s="3">
        <v>878.31</v>
      </c>
      <c r="N100">
        <v>3</v>
      </c>
      <c r="O100" s="3">
        <v>0.1</v>
      </c>
      <c r="P100" s="3">
        <v>-130.51</v>
      </c>
      <c r="Q100" s="3">
        <f>Table1_1[[#This Row],[Sales]]/Table1_1[[#This Row],[Quantity]]</f>
        <v>292.77</v>
      </c>
    </row>
    <row r="101" spans="1:17" x14ac:dyDescent="0.3">
      <c r="A101" t="s">
        <v>114</v>
      </c>
      <c r="B101" s="2">
        <f t="shared" si="2"/>
        <v>45325</v>
      </c>
      <c r="C101" t="s">
        <v>1744</v>
      </c>
      <c r="D101" s="2">
        <v>45361</v>
      </c>
      <c r="E101" t="s">
        <v>1362</v>
      </c>
      <c r="F101" t="s">
        <v>1376</v>
      </c>
      <c r="G101" t="s">
        <v>1704</v>
      </c>
      <c r="H101" t="s">
        <v>1385</v>
      </c>
      <c r="I101" t="s">
        <v>1388</v>
      </c>
      <c r="J101" t="s">
        <v>1394</v>
      </c>
      <c r="K101" t="s">
        <v>1398</v>
      </c>
      <c r="L101" t="s">
        <v>1490</v>
      </c>
      <c r="M101" s="3">
        <v>916.66</v>
      </c>
      <c r="N101">
        <v>8</v>
      </c>
      <c r="O101" s="3">
        <v>0</v>
      </c>
      <c r="P101" s="3">
        <v>111.37</v>
      </c>
      <c r="Q101" s="3">
        <f>Table1_1[[#This Row],[Sales]]/Table1_1[[#This Row],[Quantity]]</f>
        <v>114.5825</v>
      </c>
    </row>
    <row r="102" spans="1:17" x14ac:dyDescent="0.3">
      <c r="A102" t="s">
        <v>115</v>
      </c>
      <c r="B102" s="2">
        <f t="shared" si="2"/>
        <v>45014</v>
      </c>
      <c r="C102" t="s">
        <v>614</v>
      </c>
      <c r="D102" s="2">
        <v>45019</v>
      </c>
      <c r="E102" t="s">
        <v>1369</v>
      </c>
      <c r="F102" t="s">
        <v>1376</v>
      </c>
      <c r="G102" t="s">
        <v>1379</v>
      </c>
      <c r="H102" t="s">
        <v>1381</v>
      </c>
      <c r="I102" t="s">
        <v>1388</v>
      </c>
      <c r="J102" t="s">
        <v>1394</v>
      </c>
      <c r="K102" t="s">
        <v>1398</v>
      </c>
      <c r="L102" t="s">
        <v>1491</v>
      </c>
      <c r="M102" s="3">
        <v>86.28</v>
      </c>
      <c r="N102">
        <v>9</v>
      </c>
      <c r="O102" s="3">
        <v>0</v>
      </c>
      <c r="P102" s="3">
        <v>-3.87</v>
      </c>
      <c r="Q102" s="3">
        <f>Table1_1[[#This Row],[Sales]]/Table1_1[[#This Row],[Quantity]]</f>
        <v>9.586666666666666</v>
      </c>
    </row>
    <row r="103" spans="1:17" x14ac:dyDescent="0.3">
      <c r="A103" t="s">
        <v>116</v>
      </c>
      <c r="B103" s="2">
        <f t="shared" si="2"/>
        <v>44935</v>
      </c>
      <c r="C103" t="s">
        <v>1769</v>
      </c>
      <c r="D103" s="2">
        <v>45179</v>
      </c>
      <c r="E103" t="s">
        <v>1368</v>
      </c>
      <c r="F103" t="s">
        <v>1374</v>
      </c>
      <c r="G103" t="s">
        <v>1704</v>
      </c>
      <c r="H103" t="s">
        <v>1383</v>
      </c>
      <c r="I103" t="s">
        <v>1390</v>
      </c>
      <c r="J103" t="s">
        <v>1394</v>
      </c>
      <c r="K103" t="s">
        <v>1403</v>
      </c>
      <c r="L103" t="s">
        <v>1421</v>
      </c>
      <c r="M103" s="3">
        <v>704.79</v>
      </c>
      <c r="N103">
        <v>1</v>
      </c>
      <c r="O103" s="3">
        <v>0.2</v>
      </c>
      <c r="P103" s="3">
        <v>179.39</v>
      </c>
      <c r="Q103" s="3">
        <f>Table1_1[[#This Row],[Sales]]/Table1_1[[#This Row],[Quantity]]</f>
        <v>704.79</v>
      </c>
    </row>
    <row r="104" spans="1:17" x14ac:dyDescent="0.3">
      <c r="A104" t="s">
        <v>117</v>
      </c>
      <c r="B104" s="2">
        <f t="shared" si="2"/>
        <v>45023</v>
      </c>
      <c r="C104" t="s">
        <v>616</v>
      </c>
      <c r="D104" s="2">
        <v>45025</v>
      </c>
      <c r="E104" t="s">
        <v>1365</v>
      </c>
      <c r="F104" t="s">
        <v>1374</v>
      </c>
      <c r="G104" t="s">
        <v>1704</v>
      </c>
      <c r="H104" t="s">
        <v>1384</v>
      </c>
      <c r="I104" t="s">
        <v>1391</v>
      </c>
      <c r="J104" t="s">
        <v>1394</v>
      </c>
      <c r="K104" t="s">
        <v>1398</v>
      </c>
      <c r="L104" t="s">
        <v>1492</v>
      </c>
      <c r="M104" s="3">
        <v>119.51</v>
      </c>
      <c r="N104">
        <v>3</v>
      </c>
      <c r="O104" s="3">
        <v>0</v>
      </c>
      <c r="P104" s="3">
        <v>-9.1</v>
      </c>
      <c r="Q104" s="3">
        <f>Table1_1[[#This Row],[Sales]]/Table1_1[[#This Row],[Quantity]]</f>
        <v>39.836666666666666</v>
      </c>
    </row>
    <row r="105" spans="1:17" x14ac:dyDescent="0.3">
      <c r="A105" t="s">
        <v>118</v>
      </c>
      <c r="B105" s="2">
        <f t="shared" si="2"/>
        <v>44928</v>
      </c>
      <c r="C105" t="s">
        <v>1770</v>
      </c>
      <c r="D105" s="2">
        <v>44965</v>
      </c>
      <c r="E105" t="s">
        <v>1373</v>
      </c>
      <c r="F105" t="s">
        <v>1376</v>
      </c>
      <c r="G105" t="s">
        <v>1704</v>
      </c>
      <c r="H105" t="s">
        <v>1384</v>
      </c>
      <c r="I105" t="s">
        <v>1388</v>
      </c>
      <c r="J105" t="s">
        <v>1394</v>
      </c>
      <c r="K105" t="s">
        <v>1398</v>
      </c>
      <c r="L105" t="s">
        <v>1493</v>
      </c>
      <c r="M105" s="3">
        <v>725.51</v>
      </c>
      <c r="N105">
        <v>6</v>
      </c>
      <c r="O105" s="3">
        <v>0</v>
      </c>
      <c r="P105" s="3">
        <v>-25.51</v>
      </c>
      <c r="Q105" s="3">
        <f>Table1_1[[#This Row],[Sales]]/Table1_1[[#This Row],[Quantity]]</f>
        <v>120.91833333333334</v>
      </c>
    </row>
    <row r="106" spans="1:17" x14ac:dyDescent="0.3">
      <c r="A106" t="s">
        <v>119</v>
      </c>
      <c r="B106" s="2">
        <f t="shared" si="2"/>
        <v>45241</v>
      </c>
      <c r="C106" t="s">
        <v>1771</v>
      </c>
      <c r="D106" s="2">
        <v>45244</v>
      </c>
      <c r="E106" t="s">
        <v>1362</v>
      </c>
      <c r="F106" t="s">
        <v>1376</v>
      </c>
      <c r="G106" t="s">
        <v>1379</v>
      </c>
      <c r="H106" t="s">
        <v>1386</v>
      </c>
      <c r="I106" t="s">
        <v>1390</v>
      </c>
      <c r="J106" t="s">
        <v>1394</v>
      </c>
      <c r="K106" t="s">
        <v>1403</v>
      </c>
      <c r="L106" t="s">
        <v>1494</v>
      </c>
      <c r="M106" s="3">
        <v>1161.8800000000001</v>
      </c>
      <c r="N106">
        <v>7</v>
      </c>
      <c r="O106" s="3">
        <v>0.1</v>
      </c>
      <c r="P106" s="3">
        <v>113.31</v>
      </c>
      <c r="Q106" s="3">
        <f>Table1_1[[#This Row],[Sales]]/Table1_1[[#This Row],[Quantity]]</f>
        <v>165.98285714285717</v>
      </c>
    </row>
    <row r="107" spans="1:17" x14ac:dyDescent="0.3">
      <c r="A107" t="s">
        <v>120</v>
      </c>
      <c r="B107" s="2">
        <f t="shared" si="2"/>
        <v>45281</v>
      </c>
      <c r="C107" t="s">
        <v>619</v>
      </c>
      <c r="D107" s="2">
        <v>45290</v>
      </c>
      <c r="E107" t="s">
        <v>1363</v>
      </c>
      <c r="F107" t="s">
        <v>1376</v>
      </c>
      <c r="G107" t="s">
        <v>1704</v>
      </c>
      <c r="H107" t="s">
        <v>1387</v>
      </c>
      <c r="I107" t="s">
        <v>1390</v>
      </c>
      <c r="J107" t="s">
        <v>1392</v>
      </c>
      <c r="K107" t="s">
        <v>1395</v>
      </c>
      <c r="L107" t="s">
        <v>1495</v>
      </c>
      <c r="M107" s="3">
        <v>811.14</v>
      </c>
      <c r="N107">
        <v>9</v>
      </c>
      <c r="O107" s="3">
        <v>0.15</v>
      </c>
      <c r="P107" s="3">
        <v>-154.83000000000001</v>
      </c>
      <c r="Q107" s="3">
        <f>Table1_1[[#This Row],[Sales]]/Table1_1[[#This Row],[Quantity]]</f>
        <v>90.126666666666665</v>
      </c>
    </row>
    <row r="108" spans="1:17" x14ac:dyDescent="0.3">
      <c r="A108" t="s">
        <v>121</v>
      </c>
      <c r="B108" s="2">
        <f t="shared" si="2"/>
        <v>44720</v>
      </c>
      <c r="C108" t="s">
        <v>620</v>
      </c>
      <c r="D108" s="2">
        <v>44722</v>
      </c>
      <c r="E108" t="s">
        <v>1359</v>
      </c>
      <c r="F108" t="s">
        <v>1374</v>
      </c>
      <c r="G108" t="s">
        <v>1704</v>
      </c>
      <c r="H108" t="s">
        <v>1387</v>
      </c>
      <c r="I108" t="s">
        <v>1390</v>
      </c>
      <c r="J108" t="s">
        <v>1394</v>
      </c>
      <c r="K108" t="s">
        <v>1402</v>
      </c>
      <c r="L108" t="s">
        <v>1428</v>
      </c>
      <c r="M108" s="3">
        <v>619.07000000000005</v>
      </c>
      <c r="N108">
        <v>9</v>
      </c>
      <c r="O108" s="3">
        <v>0</v>
      </c>
      <c r="P108" s="3">
        <v>-112.13</v>
      </c>
      <c r="Q108" s="3">
        <f>Table1_1[[#This Row],[Sales]]/Table1_1[[#This Row],[Quantity]]</f>
        <v>68.785555555555561</v>
      </c>
    </row>
    <row r="109" spans="1:17" x14ac:dyDescent="0.3">
      <c r="A109" t="s">
        <v>122</v>
      </c>
      <c r="B109" s="2">
        <f t="shared" si="2"/>
        <v>45413</v>
      </c>
      <c r="C109" t="s">
        <v>1772</v>
      </c>
      <c r="D109" s="2">
        <v>45423</v>
      </c>
      <c r="E109" t="s">
        <v>1365</v>
      </c>
      <c r="F109" t="s">
        <v>1376</v>
      </c>
      <c r="G109" t="s">
        <v>1704</v>
      </c>
      <c r="H109" t="s">
        <v>1387</v>
      </c>
      <c r="I109" t="s">
        <v>1390</v>
      </c>
      <c r="J109" t="s">
        <v>1392</v>
      </c>
      <c r="K109" t="s">
        <v>1395</v>
      </c>
      <c r="L109" t="s">
        <v>1496</v>
      </c>
      <c r="M109" s="3">
        <v>536.45000000000005</v>
      </c>
      <c r="N109">
        <v>7</v>
      </c>
      <c r="O109" s="3">
        <v>0.15</v>
      </c>
      <c r="P109" s="3">
        <v>74.13</v>
      </c>
      <c r="Q109" s="3">
        <f>Table1_1[[#This Row],[Sales]]/Table1_1[[#This Row],[Quantity]]</f>
        <v>76.635714285714286</v>
      </c>
    </row>
    <row r="110" spans="1:17" x14ac:dyDescent="0.3">
      <c r="A110" t="s">
        <v>123</v>
      </c>
      <c r="B110" s="2">
        <f t="shared" si="2"/>
        <v>45390</v>
      </c>
      <c r="C110" t="s">
        <v>622</v>
      </c>
      <c r="D110" s="2">
        <v>45398</v>
      </c>
      <c r="E110" t="s">
        <v>1365</v>
      </c>
      <c r="F110" t="s">
        <v>1374</v>
      </c>
      <c r="G110" t="s">
        <v>1704</v>
      </c>
      <c r="H110" t="s">
        <v>1387</v>
      </c>
      <c r="I110" t="s">
        <v>1390</v>
      </c>
      <c r="J110" t="s">
        <v>1392</v>
      </c>
      <c r="K110" t="s">
        <v>1397</v>
      </c>
      <c r="L110" t="s">
        <v>1497</v>
      </c>
      <c r="M110" s="3">
        <v>820.4</v>
      </c>
      <c r="N110">
        <v>10</v>
      </c>
      <c r="O110" s="3">
        <v>0.2</v>
      </c>
      <c r="P110" s="3">
        <v>25.3</v>
      </c>
      <c r="Q110" s="3">
        <f>Table1_1[[#This Row],[Sales]]/Table1_1[[#This Row],[Quantity]]</f>
        <v>82.039999999999992</v>
      </c>
    </row>
    <row r="111" spans="1:17" hidden="1" x14ac:dyDescent="0.3">
      <c r="A111" t="s">
        <v>124</v>
      </c>
      <c r="B111" s="2" t="e">
        <f t="shared" si="2"/>
        <v>#VALUE!</v>
      </c>
      <c r="C111" t="s">
        <v>1773</v>
      </c>
      <c r="D111" s="2">
        <v>44708</v>
      </c>
      <c r="E111" t="s">
        <v>1359</v>
      </c>
      <c r="F111" t="s">
        <v>1376</v>
      </c>
      <c r="G111" t="s">
        <v>1379</v>
      </c>
      <c r="H111" t="s">
        <v>1386</v>
      </c>
      <c r="I111" t="s">
        <v>1390</v>
      </c>
      <c r="J111" t="s">
        <v>1392</v>
      </c>
      <c r="K111" t="s">
        <v>1395</v>
      </c>
      <c r="L111" t="s">
        <v>1475</v>
      </c>
      <c r="M111" s="3">
        <v>587.1</v>
      </c>
      <c r="N111">
        <v>6</v>
      </c>
      <c r="O111" s="3">
        <v>0</v>
      </c>
      <c r="P111" s="3">
        <v>156.84</v>
      </c>
      <c r="Q111" s="3">
        <f>Table1_1[[#This Row],[Sales]]/Table1_1[[#This Row],[Quantity]]</f>
        <v>97.850000000000009</v>
      </c>
    </row>
    <row r="112" spans="1:17" x14ac:dyDescent="0.3">
      <c r="A112" t="s">
        <v>125</v>
      </c>
      <c r="B112" s="2">
        <f t="shared" si="2"/>
        <v>45022</v>
      </c>
      <c r="C112" t="s">
        <v>1774</v>
      </c>
      <c r="D112" s="2">
        <v>45031</v>
      </c>
      <c r="E112" t="s">
        <v>1367</v>
      </c>
      <c r="F112" t="s">
        <v>1376</v>
      </c>
      <c r="G112" t="s">
        <v>1379</v>
      </c>
      <c r="H112" t="s">
        <v>1387</v>
      </c>
      <c r="I112" t="s">
        <v>1389</v>
      </c>
      <c r="J112" t="s">
        <v>1392</v>
      </c>
      <c r="K112" t="s">
        <v>1397</v>
      </c>
      <c r="L112" t="s">
        <v>1498</v>
      </c>
      <c r="M112" s="3">
        <v>128.22</v>
      </c>
      <c r="N112">
        <v>4</v>
      </c>
      <c r="O112" s="3">
        <v>0.2</v>
      </c>
      <c r="P112" s="3">
        <v>31.07</v>
      </c>
      <c r="Q112" s="3">
        <f>Table1_1[[#This Row],[Sales]]/Table1_1[[#This Row],[Quantity]]</f>
        <v>32.055</v>
      </c>
    </row>
    <row r="113" spans="1:17" x14ac:dyDescent="0.3">
      <c r="A113" t="s">
        <v>126</v>
      </c>
      <c r="B113" s="2">
        <f t="shared" si="2"/>
        <v>44945</v>
      </c>
      <c r="C113" t="s">
        <v>625</v>
      </c>
      <c r="D113" s="2">
        <v>44949</v>
      </c>
      <c r="E113" t="s">
        <v>1365</v>
      </c>
      <c r="F113" t="s">
        <v>1375</v>
      </c>
      <c r="G113" t="s">
        <v>1704</v>
      </c>
      <c r="H113" t="s">
        <v>1385</v>
      </c>
      <c r="I113" t="s">
        <v>1388</v>
      </c>
      <c r="J113" t="s">
        <v>1392</v>
      </c>
      <c r="K113" t="s">
        <v>1397</v>
      </c>
      <c r="L113" t="s">
        <v>1498</v>
      </c>
      <c r="M113" s="3">
        <v>1118.3699999999999</v>
      </c>
      <c r="N113">
        <v>6</v>
      </c>
      <c r="O113" s="3">
        <v>0.1</v>
      </c>
      <c r="P113" s="3">
        <v>-146.72999999999999</v>
      </c>
      <c r="Q113" s="3">
        <f>Table1_1[[#This Row],[Sales]]/Table1_1[[#This Row],[Quantity]]</f>
        <v>186.39499999999998</v>
      </c>
    </row>
    <row r="114" spans="1:17" x14ac:dyDescent="0.3">
      <c r="A114" t="s">
        <v>127</v>
      </c>
      <c r="B114" s="2">
        <f t="shared" si="2"/>
        <v>44581</v>
      </c>
      <c r="C114" t="s">
        <v>626</v>
      </c>
      <c r="D114" s="2">
        <v>44586</v>
      </c>
      <c r="E114" t="s">
        <v>1368</v>
      </c>
      <c r="F114" t="s">
        <v>1375</v>
      </c>
      <c r="G114" t="s">
        <v>1379</v>
      </c>
      <c r="H114" t="s">
        <v>1387</v>
      </c>
      <c r="I114" t="s">
        <v>1389</v>
      </c>
      <c r="J114" t="s">
        <v>1392</v>
      </c>
      <c r="K114" t="s">
        <v>1401</v>
      </c>
      <c r="L114" t="s">
        <v>1499</v>
      </c>
      <c r="M114" s="3">
        <v>667.59</v>
      </c>
      <c r="N114">
        <v>10</v>
      </c>
      <c r="O114" s="3">
        <v>0</v>
      </c>
      <c r="P114" s="3">
        <v>7.76</v>
      </c>
      <c r="Q114" s="3">
        <f>Table1_1[[#This Row],[Sales]]/Table1_1[[#This Row],[Quantity]]</f>
        <v>66.759</v>
      </c>
    </row>
    <row r="115" spans="1:17" hidden="1" x14ac:dyDescent="0.3">
      <c r="A115" t="s">
        <v>128</v>
      </c>
      <c r="B115" s="2" t="e">
        <f t="shared" si="2"/>
        <v>#VALUE!</v>
      </c>
      <c r="C115" t="s">
        <v>1775</v>
      </c>
      <c r="D115" s="2">
        <v>45384</v>
      </c>
      <c r="E115" t="s">
        <v>1364</v>
      </c>
      <c r="F115" t="s">
        <v>1375</v>
      </c>
      <c r="G115" t="s">
        <v>1704</v>
      </c>
      <c r="H115" t="s">
        <v>1384</v>
      </c>
      <c r="I115" t="s">
        <v>1389</v>
      </c>
      <c r="J115" t="s">
        <v>1394</v>
      </c>
      <c r="K115" t="s">
        <v>1402</v>
      </c>
      <c r="L115" t="s">
        <v>1500</v>
      </c>
      <c r="M115" s="3">
        <v>150.81</v>
      </c>
      <c r="N115">
        <v>8</v>
      </c>
      <c r="O115" s="3">
        <v>0</v>
      </c>
      <c r="P115" s="3">
        <v>10.26</v>
      </c>
      <c r="Q115" s="3">
        <f>Table1_1[[#This Row],[Sales]]/Table1_1[[#This Row],[Quantity]]</f>
        <v>18.85125</v>
      </c>
    </row>
    <row r="116" spans="1:17" x14ac:dyDescent="0.3">
      <c r="A116" t="s">
        <v>129</v>
      </c>
      <c r="B116" s="2">
        <f t="shared" si="2"/>
        <v>45191</v>
      </c>
      <c r="C116" t="s">
        <v>1776</v>
      </c>
      <c r="D116" s="2">
        <v>45197</v>
      </c>
      <c r="E116" t="s">
        <v>1364</v>
      </c>
      <c r="F116" t="s">
        <v>1374</v>
      </c>
      <c r="G116" t="s">
        <v>1379</v>
      </c>
      <c r="H116" t="s">
        <v>1385</v>
      </c>
      <c r="I116" t="s">
        <v>1389</v>
      </c>
      <c r="J116" t="s">
        <v>1392</v>
      </c>
      <c r="K116" t="s">
        <v>1395</v>
      </c>
      <c r="L116" t="s">
        <v>1501</v>
      </c>
      <c r="M116" s="3">
        <v>511.55</v>
      </c>
      <c r="N116">
        <v>2</v>
      </c>
      <c r="O116" s="3">
        <v>0</v>
      </c>
      <c r="P116" s="3">
        <v>146.97999999999999</v>
      </c>
      <c r="Q116" s="3">
        <f>Table1_1[[#This Row],[Sales]]/Table1_1[[#This Row],[Quantity]]</f>
        <v>255.77500000000001</v>
      </c>
    </row>
    <row r="117" spans="1:17" hidden="1" x14ac:dyDescent="0.3">
      <c r="A117" t="s">
        <v>130</v>
      </c>
      <c r="B117" s="2" t="e">
        <f t="shared" si="2"/>
        <v>#VALUE!</v>
      </c>
      <c r="C117" t="s">
        <v>1733</v>
      </c>
      <c r="D117" s="2">
        <v>45219</v>
      </c>
      <c r="E117" t="s">
        <v>1361</v>
      </c>
      <c r="F117" t="s">
        <v>1374</v>
      </c>
      <c r="G117" t="s">
        <v>1379</v>
      </c>
      <c r="H117" t="s">
        <v>1387</v>
      </c>
      <c r="I117" t="s">
        <v>1388</v>
      </c>
      <c r="J117" t="s">
        <v>1394</v>
      </c>
      <c r="K117" t="s">
        <v>1403</v>
      </c>
      <c r="L117" t="s">
        <v>1502</v>
      </c>
      <c r="M117" s="3">
        <v>901.83</v>
      </c>
      <c r="N117">
        <v>6</v>
      </c>
      <c r="O117" s="3">
        <v>0</v>
      </c>
      <c r="P117" s="3">
        <v>-24.89</v>
      </c>
      <c r="Q117" s="3">
        <f>Table1_1[[#This Row],[Sales]]/Table1_1[[#This Row],[Quantity]]</f>
        <v>150.30500000000001</v>
      </c>
    </row>
    <row r="118" spans="1:17" x14ac:dyDescent="0.3">
      <c r="A118" t="s">
        <v>131</v>
      </c>
      <c r="B118" s="2">
        <f t="shared" si="2"/>
        <v>45121</v>
      </c>
      <c r="C118" t="s">
        <v>1777</v>
      </c>
      <c r="D118" s="2">
        <v>45127</v>
      </c>
      <c r="E118" t="s">
        <v>1361</v>
      </c>
      <c r="F118" t="s">
        <v>1376</v>
      </c>
      <c r="G118" t="s">
        <v>1379</v>
      </c>
      <c r="H118" t="s">
        <v>1384</v>
      </c>
      <c r="I118" t="s">
        <v>1390</v>
      </c>
      <c r="J118" t="s">
        <v>1393</v>
      </c>
      <c r="K118" t="s">
        <v>1400</v>
      </c>
      <c r="L118" t="s">
        <v>1503</v>
      </c>
      <c r="M118" s="3">
        <v>999.85</v>
      </c>
      <c r="N118">
        <v>8</v>
      </c>
      <c r="O118" s="3">
        <v>0.2</v>
      </c>
      <c r="P118" s="3">
        <v>115.85</v>
      </c>
      <c r="Q118" s="3">
        <f>Table1_1[[#This Row],[Sales]]/Table1_1[[#This Row],[Quantity]]</f>
        <v>124.98125</v>
      </c>
    </row>
    <row r="119" spans="1:17" hidden="1" x14ac:dyDescent="0.3">
      <c r="A119" t="s">
        <v>132</v>
      </c>
      <c r="B119" s="2" t="e">
        <f t="shared" si="2"/>
        <v>#VALUE!</v>
      </c>
      <c r="C119" t="s">
        <v>1778</v>
      </c>
      <c r="D119" s="2">
        <v>45376</v>
      </c>
      <c r="E119" t="s">
        <v>1373</v>
      </c>
      <c r="F119" t="s">
        <v>1375</v>
      </c>
      <c r="G119" t="s">
        <v>1704</v>
      </c>
      <c r="H119" t="s">
        <v>1384</v>
      </c>
      <c r="I119" t="s">
        <v>1391</v>
      </c>
      <c r="J119" t="s">
        <v>1392</v>
      </c>
      <c r="K119" t="s">
        <v>1397</v>
      </c>
      <c r="L119" t="s">
        <v>1504</v>
      </c>
      <c r="M119" s="3">
        <v>1121.3800000000001</v>
      </c>
      <c r="N119">
        <v>9</v>
      </c>
      <c r="O119" s="3">
        <v>0.2</v>
      </c>
      <c r="P119" s="3">
        <v>330.32</v>
      </c>
      <c r="Q119" s="3">
        <f>Table1_1[[#This Row],[Sales]]/Table1_1[[#This Row],[Quantity]]</f>
        <v>124.59777777777779</v>
      </c>
    </row>
    <row r="120" spans="1:17" x14ac:dyDescent="0.3">
      <c r="A120" t="s">
        <v>133</v>
      </c>
      <c r="B120" s="2">
        <f t="shared" si="2"/>
        <v>44610</v>
      </c>
      <c r="C120" t="s">
        <v>631</v>
      </c>
      <c r="D120" s="2">
        <v>44616</v>
      </c>
      <c r="E120" t="s">
        <v>1371</v>
      </c>
      <c r="F120" t="s">
        <v>1376</v>
      </c>
      <c r="G120" t="s">
        <v>1704</v>
      </c>
      <c r="H120" t="s">
        <v>1384</v>
      </c>
      <c r="I120" t="s">
        <v>1391</v>
      </c>
      <c r="J120" t="s">
        <v>1394</v>
      </c>
      <c r="K120" t="s">
        <v>1402</v>
      </c>
      <c r="L120" t="s">
        <v>1505</v>
      </c>
      <c r="M120" s="3">
        <v>963.22</v>
      </c>
      <c r="N120">
        <v>7</v>
      </c>
      <c r="O120" s="3">
        <v>0.2</v>
      </c>
      <c r="P120" s="3">
        <v>165.34</v>
      </c>
      <c r="Q120" s="3">
        <f>Table1_1[[#This Row],[Sales]]/Table1_1[[#This Row],[Quantity]]</f>
        <v>137.60285714285715</v>
      </c>
    </row>
    <row r="121" spans="1:17" x14ac:dyDescent="0.3">
      <c r="A121" t="s">
        <v>134</v>
      </c>
      <c r="B121" s="2">
        <f t="shared" si="2"/>
        <v>45306</v>
      </c>
      <c r="C121" t="s">
        <v>1779</v>
      </c>
      <c r="D121" s="2">
        <v>45313</v>
      </c>
      <c r="E121" t="s">
        <v>1366</v>
      </c>
      <c r="F121" t="s">
        <v>1374</v>
      </c>
      <c r="G121" t="s">
        <v>1379</v>
      </c>
      <c r="H121" t="s">
        <v>1384</v>
      </c>
      <c r="I121" t="s">
        <v>1389</v>
      </c>
      <c r="J121" t="s">
        <v>1392</v>
      </c>
      <c r="K121" t="s">
        <v>1397</v>
      </c>
      <c r="L121" t="s">
        <v>1497</v>
      </c>
      <c r="M121" s="3">
        <v>730.89</v>
      </c>
      <c r="N121">
        <v>3</v>
      </c>
      <c r="O121" s="3">
        <v>0</v>
      </c>
      <c r="P121" s="3">
        <v>-38.82</v>
      </c>
      <c r="Q121" s="3">
        <f>Table1_1[[#This Row],[Sales]]/Table1_1[[#This Row],[Quantity]]</f>
        <v>243.63</v>
      </c>
    </row>
    <row r="122" spans="1:17" x14ac:dyDescent="0.3">
      <c r="A122" t="s">
        <v>135</v>
      </c>
      <c r="B122" s="2">
        <f t="shared" si="2"/>
        <v>45296</v>
      </c>
      <c r="C122" t="s">
        <v>633</v>
      </c>
      <c r="D122" s="2">
        <v>45303</v>
      </c>
      <c r="E122" t="s">
        <v>1360</v>
      </c>
      <c r="F122" t="s">
        <v>1376</v>
      </c>
      <c r="G122" t="s">
        <v>1379</v>
      </c>
      <c r="H122" t="s">
        <v>1381</v>
      </c>
      <c r="I122" t="s">
        <v>1389</v>
      </c>
      <c r="J122" t="s">
        <v>1392</v>
      </c>
      <c r="K122" t="s">
        <v>1395</v>
      </c>
      <c r="L122" t="s">
        <v>1410</v>
      </c>
      <c r="M122" s="3">
        <v>543.80999999999995</v>
      </c>
      <c r="N122">
        <v>8</v>
      </c>
      <c r="O122" s="3">
        <v>0</v>
      </c>
      <c r="P122" s="3">
        <v>88.86</v>
      </c>
      <c r="Q122" s="3">
        <f>Table1_1[[#This Row],[Sales]]/Table1_1[[#This Row],[Quantity]]</f>
        <v>67.976249999999993</v>
      </c>
    </row>
    <row r="123" spans="1:17" x14ac:dyDescent="0.3">
      <c r="A123" t="s">
        <v>136</v>
      </c>
      <c r="B123" s="2">
        <f t="shared" si="2"/>
        <v>45087</v>
      </c>
      <c r="C123" t="s">
        <v>1780</v>
      </c>
      <c r="D123" s="2">
        <v>45090</v>
      </c>
      <c r="E123" t="s">
        <v>1372</v>
      </c>
      <c r="F123" t="s">
        <v>1376</v>
      </c>
      <c r="G123" t="s">
        <v>1379</v>
      </c>
      <c r="H123" t="s">
        <v>1383</v>
      </c>
      <c r="I123" t="s">
        <v>1390</v>
      </c>
      <c r="J123" t="s">
        <v>1392</v>
      </c>
      <c r="K123" t="s">
        <v>1401</v>
      </c>
      <c r="L123" t="s">
        <v>1473</v>
      </c>
      <c r="M123" s="3">
        <v>1021.43</v>
      </c>
      <c r="N123">
        <v>8</v>
      </c>
      <c r="O123" s="3">
        <v>0</v>
      </c>
      <c r="P123" s="3">
        <v>-139.82</v>
      </c>
      <c r="Q123" s="3">
        <f>Table1_1[[#This Row],[Sales]]/Table1_1[[#This Row],[Quantity]]</f>
        <v>127.67874999999999</v>
      </c>
    </row>
    <row r="124" spans="1:17" x14ac:dyDescent="0.3">
      <c r="A124" t="s">
        <v>137</v>
      </c>
      <c r="B124" s="2">
        <f t="shared" si="2"/>
        <v>45022</v>
      </c>
      <c r="C124" t="s">
        <v>635</v>
      </c>
      <c r="D124" s="2">
        <v>45028</v>
      </c>
      <c r="E124" t="s">
        <v>1362</v>
      </c>
      <c r="F124" t="s">
        <v>1376</v>
      </c>
      <c r="G124" t="s">
        <v>1704</v>
      </c>
      <c r="H124" t="s">
        <v>1381</v>
      </c>
      <c r="I124" t="s">
        <v>1388</v>
      </c>
      <c r="J124" t="s">
        <v>1394</v>
      </c>
      <c r="K124" t="s">
        <v>1403</v>
      </c>
      <c r="L124" t="s">
        <v>1506</v>
      </c>
      <c r="M124" s="3">
        <v>920.44</v>
      </c>
      <c r="N124">
        <v>10</v>
      </c>
      <c r="O124" s="3">
        <v>0.1</v>
      </c>
      <c r="P124" s="3">
        <v>59.58</v>
      </c>
      <c r="Q124" s="3">
        <f>Table1_1[[#This Row],[Sales]]/Table1_1[[#This Row],[Quantity]]</f>
        <v>92.044000000000011</v>
      </c>
    </row>
    <row r="125" spans="1:17" x14ac:dyDescent="0.3">
      <c r="A125" t="s">
        <v>138</v>
      </c>
      <c r="B125" s="2">
        <f t="shared" si="2"/>
        <v>44841</v>
      </c>
      <c r="C125" t="s">
        <v>1781</v>
      </c>
      <c r="D125" s="2">
        <v>44760</v>
      </c>
      <c r="E125" t="s">
        <v>1367</v>
      </c>
      <c r="F125" t="s">
        <v>1374</v>
      </c>
      <c r="G125" t="s">
        <v>1379</v>
      </c>
      <c r="H125" t="s">
        <v>1382</v>
      </c>
      <c r="I125" t="s">
        <v>1389</v>
      </c>
      <c r="J125" t="s">
        <v>1393</v>
      </c>
      <c r="K125" t="s">
        <v>1399</v>
      </c>
      <c r="L125" t="s">
        <v>1507</v>
      </c>
      <c r="M125" s="3">
        <v>1097.98</v>
      </c>
      <c r="N125">
        <v>2</v>
      </c>
      <c r="O125" s="3">
        <v>0.15</v>
      </c>
      <c r="P125" s="3">
        <v>205.85</v>
      </c>
      <c r="Q125" s="3">
        <f>Table1_1[[#This Row],[Sales]]/Table1_1[[#This Row],[Quantity]]</f>
        <v>548.99</v>
      </c>
    </row>
    <row r="126" spans="1:17" x14ac:dyDescent="0.3">
      <c r="A126" t="s">
        <v>139</v>
      </c>
      <c r="B126" s="2">
        <f t="shared" si="2"/>
        <v>44687</v>
      </c>
      <c r="C126" t="s">
        <v>637</v>
      </c>
      <c r="D126" s="2">
        <v>44690</v>
      </c>
      <c r="E126" t="s">
        <v>1362</v>
      </c>
      <c r="F126" t="s">
        <v>1375</v>
      </c>
      <c r="G126" t="s">
        <v>1379</v>
      </c>
      <c r="H126" t="s">
        <v>1384</v>
      </c>
      <c r="I126" t="s">
        <v>1390</v>
      </c>
      <c r="J126" t="s">
        <v>1392</v>
      </c>
      <c r="K126" t="s">
        <v>1397</v>
      </c>
      <c r="L126" t="s">
        <v>1508</v>
      </c>
      <c r="M126" s="3">
        <v>223.73</v>
      </c>
      <c r="N126">
        <v>8</v>
      </c>
      <c r="O126" s="3">
        <v>0</v>
      </c>
      <c r="P126" s="3">
        <v>45.92</v>
      </c>
      <c r="Q126" s="3">
        <f>Table1_1[[#This Row],[Sales]]/Table1_1[[#This Row],[Quantity]]</f>
        <v>27.966249999999999</v>
      </c>
    </row>
    <row r="127" spans="1:17" x14ac:dyDescent="0.3">
      <c r="A127" t="s">
        <v>140</v>
      </c>
      <c r="B127" s="2">
        <f t="shared" si="2"/>
        <v>45288</v>
      </c>
      <c r="C127" t="s">
        <v>638</v>
      </c>
      <c r="D127" s="2">
        <v>45291</v>
      </c>
      <c r="E127" t="s">
        <v>1366</v>
      </c>
      <c r="F127" t="s">
        <v>1374</v>
      </c>
      <c r="G127" t="s">
        <v>1379</v>
      </c>
      <c r="H127" t="s">
        <v>1385</v>
      </c>
      <c r="I127" t="s">
        <v>1390</v>
      </c>
      <c r="J127" t="s">
        <v>1394</v>
      </c>
      <c r="K127" t="s">
        <v>1398</v>
      </c>
      <c r="L127" t="s">
        <v>1491</v>
      </c>
      <c r="M127" s="3">
        <v>284.61</v>
      </c>
      <c r="N127">
        <v>4</v>
      </c>
      <c r="O127" s="3">
        <v>0.1</v>
      </c>
      <c r="P127" s="3">
        <v>-23.23</v>
      </c>
      <c r="Q127" s="3">
        <f>Table1_1[[#This Row],[Sales]]/Table1_1[[#This Row],[Quantity]]</f>
        <v>71.152500000000003</v>
      </c>
    </row>
    <row r="128" spans="1:17" x14ac:dyDescent="0.3">
      <c r="A128" t="s">
        <v>141</v>
      </c>
      <c r="B128" s="2">
        <f t="shared" si="2"/>
        <v>44650</v>
      </c>
      <c r="C128" t="s">
        <v>639</v>
      </c>
      <c r="D128" s="2">
        <v>44652</v>
      </c>
      <c r="E128" t="s">
        <v>1359</v>
      </c>
      <c r="F128" t="s">
        <v>1375</v>
      </c>
      <c r="G128" t="s">
        <v>1379</v>
      </c>
      <c r="H128" t="s">
        <v>1382</v>
      </c>
      <c r="I128" t="s">
        <v>1388</v>
      </c>
      <c r="J128" t="s">
        <v>1394</v>
      </c>
      <c r="K128" t="s">
        <v>1403</v>
      </c>
      <c r="L128" t="s">
        <v>1509</v>
      </c>
      <c r="M128" s="3">
        <v>1199.52</v>
      </c>
      <c r="N128">
        <v>8</v>
      </c>
      <c r="O128" s="3">
        <v>0</v>
      </c>
      <c r="P128" s="3">
        <v>6.47</v>
      </c>
      <c r="Q128" s="3">
        <f>Table1_1[[#This Row],[Sales]]/Table1_1[[#This Row],[Quantity]]</f>
        <v>149.94</v>
      </c>
    </row>
    <row r="129" spans="1:17" x14ac:dyDescent="0.3">
      <c r="A129" t="s">
        <v>142</v>
      </c>
      <c r="B129" s="2">
        <f t="shared" si="2"/>
        <v>45039</v>
      </c>
      <c r="C129" t="s">
        <v>1782</v>
      </c>
      <c r="D129" s="2">
        <v>45048</v>
      </c>
      <c r="E129" t="s">
        <v>1365</v>
      </c>
      <c r="F129" t="s">
        <v>1375</v>
      </c>
      <c r="G129" t="s">
        <v>1379</v>
      </c>
      <c r="H129" t="s">
        <v>1383</v>
      </c>
      <c r="I129" t="s">
        <v>1390</v>
      </c>
      <c r="J129" t="s">
        <v>1394</v>
      </c>
      <c r="K129" t="s">
        <v>1402</v>
      </c>
      <c r="L129" t="s">
        <v>1510</v>
      </c>
      <c r="M129" s="3">
        <v>1055.99</v>
      </c>
      <c r="N129">
        <v>9</v>
      </c>
      <c r="O129" s="3">
        <v>0</v>
      </c>
      <c r="P129" s="3">
        <v>-115.12</v>
      </c>
      <c r="Q129" s="3">
        <f>Table1_1[[#This Row],[Sales]]/Table1_1[[#This Row],[Quantity]]</f>
        <v>117.33222222222223</v>
      </c>
    </row>
    <row r="130" spans="1:17" x14ac:dyDescent="0.3">
      <c r="A130" t="s">
        <v>143</v>
      </c>
      <c r="B130" s="2">
        <f t="shared" ref="B130:B134" si="3">DATEVALUE(C130)</f>
        <v>44730</v>
      </c>
      <c r="C130" t="s">
        <v>641</v>
      </c>
      <c r="D130" s="2">
        <v>44733</v>
      </c>
      <c r="E130" t="s">
        <v>1370</v>
      </c>
      <c r="F130" t="s">
        <v>1374</v>
      </c>
      <c r="G130" t="s">
        <v>1379</v>
      </c>
      <c r="H130" t="s">
        <v>1387</v>
      </c>
      <c r="I130" t="s">
        <v>1391</v>
      </c>
      <c r="J130" t="s">
        <v>1394</v>
      </c>
      <c r="K130" t="s">
        <v>1398</v>
      </c>
      <c r="L130" t="s">
        <v>1491</v>
      </c>
      <c r="M130" s="3">
        <v>286.05</v>
      </c>
      <c r="N130">
        <v>9</v>
      </c>
      <c r="O130" s="3">
        <v>0.15</v>
      </c>
      <c r="P130" s="3">
        <v>63.78</v>
      </c>
      <c r="Q130" s="3">
        <f>Table1_1[[#This Row],[Sales]]/Table1_1[[#This Row],[Quantity]]</f>
        <v>31.783333333333335</v>
      </c>
    </row>
    <row r="131" spans="1:17" x14ac:dyDescent="0.3">
      <c r="A131" t="s">
        <v>144</v>
      </c>
      <c r="B131" s="2">
        <f t="shared" si="3"/>
        <v>44933</v>
      </c>
      <c r="C131" t="s">
        <v>1783</v>
      </c>
      <c r="D131" s="2">
        <v>45110</v>
      </c>
      <c r="E131" t="s">
        <v>1360</v>
      </c>
      <c r="F131" t="s">
        <v>1374</v>
      </c>
      <c r="G131" t="s">
        <v>1379</v>
      </c>
      <c r="H131" t="s">
        <v>1386</v>
      </c>
      <c r="I131" t="s">
        <v>1388</v>
      </c>
      <c r="J131" t="s">
        <v>1393</v>
      </c>
      <c r="K131" t="s">
        <v>1396</v>
      </c>
      <c r="L131" t="s">
        <v>1511</v>
      </c>
      <c r="M131" s="3">
        <v>218.99</v>
      </c>
      <c r="N131">
        <v>10</v>
      </c>
      <c r="O131" s="3">
        <v>0.1</v>
      </c>
      <c r="P131" s="3">
        <v>-25.05</v>
      </c>
      <c r="Q131" s="3">
        <f>Table1_1[[#This Row],[Sales]]/Table1_1[[#This Row],[Quantity]]</f>
        <v>21.899000000000001</v>
      </c>
    </row>
    <row r="132" spans="1:17" x14ac:dyDescent="0.3">
      <c r="A132" t="s">
        <v>145</v>
      </c>
      <c r="B132" s="2">
        <f t="shared" si="3"/>
        <v>44608</v>
      </c>
      <c r="C132" t="s">
        <v>1784</v>
      </c>
      <c r="D132" s="2">
        <v>44618</v>
      </c>
      <c r="E132" t="s">
        <v>1365</v>
      </c>
      <c r="F132" t="s">
        <v>1374</v>
      </c>
      <c r="G132" t="s">
        <v>1379</v>
      </c>
      <c r="H132" t="s">
        <v>1382</v>
      </c>
      <c r="I132" t="s">
        <v>1391</v>
      </c>
      <c r="J132" t="s">
        <v>1394</v>
      </c>
      <c r="K132" t="s">
        <v>1398</v>
      </c>
      <c r="L132" t="s">
        <v>1490</v>
      </c>
      <c r="M132" s="3">
        <v>268.75</v>
      </c>
      <c r="N132">
        <v>10</v>
      </c>
      <c r="O132" s="3">
        <v>0.2</v>
      </c>
      <c r="P132" s="3">
        <v>29.31</v>
      </c>
      <c r="Q132" s="3">
        <f>Table1_1[[#This Row],[Sales]]/Table1_1[[#This Row],[Quantity]]</f>
        <v>26.875</v>
      </c>
    </row>
    <row r="133" spans="1:17" x14ac:dyDescent="0.3">
      <c r="A133" t="s">
        <v>146</v>
      </c>
      <c r="B133" s="2">
        <f t="shared" si="3"/>
        <v>44812</v>
      </c>
      <c r="C133" t="s">
        <v>644</v>
      </c>
      <c r="D133" s="2">
        <v>44819</v>
      </c>
      <c r="E133" t="s">
        <v>1367</v>
      </c>
      <c r="F133" t="s">
        <v>1376</v>
      </c>
      <c r="G133" t="s">
        <v>1704</v>
      </c>
      <c r="H133" t="s">
        <v>1384</v>
      </c>
      <c r="I133" t="s">
        <v>1391</v>
      </c>
      <c r="J133" t="s">
        <v>1394</v>
      </c>
      <c r="K133" t="s">
        <v>1403</v>
      </c>
      <c r="L133" t="s">
        <v>1512</v>
      </c>
      <c r="M133" s="3">
        <v>106.11</v>
      </c>
      <c r="N133">
        <v>1</v>
      </c>
      <c r="O133" s="3">
        <v>0.1</v>
      </c>
      <c r="P133" s="3">
        <v>2.1</v>
      </c>
      <c r="Q133" s="3">
        <f>Table1_1[[#This Row],[Sales]]/Table1_1[[#This Row],[Quantity]]</f>
        <v>106.11</v>
      </c>
    </row>
    <row r="134" spans="1:17" x14ac:dyDescent="0.3">
      <c r="A134" t="s">
        <v>147</v>
      </c>
      <c r="B134" s="2">
        <f t="shared" si="3"/>
        <v>45443</v>
      </c>
      <c r="C134" t="s">
        <v>1785</v>
      </c>
      <c r="D134" s="2">
        <v>45449</v>
      </c>
      <c r="E134" t="s">
        <v>1367</v>
      </c>
      <c r="F134" t="s">
        <v>1376</v>
      </c>
      <c r="G134" t="s">
        <v>1704</v>
      </c>
      <c r="H134" t="s">
        <v>1387</v>
      </c>
      <c r="I134" t="s">
        <v>1390</v>
      </c>
      <c r="J134" t="s">
        <v>1394</v>
      </c>
      <c r="K134" t="s">
        <v>1402</v>
      </c>
      <c r="L134" t="s">
        <v>1513</v>
      </c>
      <c r="M134" s="3">
        <v>917.58</v>
      </c>
      <c r="N134">
        <v>9</v>
      </c>
      <c r="O134" s="3">
        <v>0</v>
      </c>
      <c r="P134" s="3">
        <v>-134.80000000000001</v>
      </c>
      <c r="Q134" s="3">
        <f>Table1_1[[#This Row],[Sales]]/Table1_1[[#This Row],[Quantity]]</f>
        <v>101.95333333333333</v>
      </c>
    </row>
    <row r="135" spans="1:17" hidden="1" x14ac:dyDescent="0.3">
      <c r="A135" t="s">
        <v>148</v>
      </c>
      <c r="B135" s="2" t="e">
        <f t="shared" ref="B135:B193" si="4">DATEVALUE(C135)</f>
        <v>#VALUE!</v>
      </c>
      <c r="C135" t="s">
        <v>1713</v>
      </c>
      <c r="D135" s="2">
        <v>44618</v>
      </c>
      <c r="E135" t="s">
        <v>1371</v>
      </c>
      <c r="F135" t="s">
        <v>1375</v>
      </c>
      <c r="G135" t="s">
        <v>1704</v>
      </c>
      <c r="H135" t="s">
        <v>1383</v>
      </c>
      <c r="I135" t="s">
        <v>1389</v>
      </c>
      <c r="J135" t="s">
        <v>1394</v>
      </c>
      <c r="K135" t="s">
        <v>1398</v>
      </c>
      <c r="L135" t="s">
        <v>1440</v>
      </c>
      <c r="M135" s="3">
        <v>513.4</v>
      </c>
      <c r="N135">
        <v>3</v>
      </c>
      <c r="O135" s="3">
        <v>0.15</v>
      </c>
      <c r="P135" s="3">
        <v>137.01</v>
      </c>
      <c r="Q135" s="3">
        <f>Table1_1[[#This Row],[Sales]]/Table1_1[[#This Row],[Quantity]]</f>
        <v>171.13333333333333</v>
      </c>
    </row>
    <row r="136" spans="1:17" x14ac:dyDescent="0.3">
      <c r="A136" t="s">
        <v>149</v>
      </c>
      <c r="B136" s="2">
        <f t="shared" si="4"/>
        <v>45462</v>
      </c>
      <c r="C136" t="s">
        <v>1786</v>
      </c>
      <c r="D136" s="2">
        <v>45467</v>
      </c>
      <c r="E136" t="s">
        <v>1370</v>
      </c>
      <c r="F136" t="s">
        <v>1376</v>
      </c>
      <c r="G136" t="s">
        <v>1379</v>
      </c>
      <c r="H136" t="s">
        <v>1381</v>
      </c>
      <c r="I136" t="s">
        <v>1391</v>
      </c>
      <c r="J136" t="s">
        <v>1394</v>
      </c>
      <c r="K136" t="s">
        <v>1402</v>
      </c>
      <c r="L136" t="s">
        <v>1514</v>
      </c>
      <c r="M136" s="3">
        <v>126.26</v>
      </c>
      <c r="N136">
        <v>7</v>
      </c>
      <c r="O136" s="3">
        <v>0</v>
      </c>
      <c r="P136" s="3">
        <v>3.61</v>
      </c>
      <c r="Q136" s="3">
        <f>Table1_1[[#This Row],[Sales]]/Table1_1[[#This Row],[Quantity]]</f>
        <v>18.037142857142857</v>
      </c>
    </row>
    <row r="137" spans="1:17" x14ac:dyDescent="0.3">
      <c r="A137" t="s">
        <v>150</v>
      </c>
      <c r="B137" s="2">
        <f t="shared" si="4"/>
        <v>45173</v>
      </c>
      <c r="C137" t="s">
        <v>647</v>
      </c>
      <c r="D137" s="2">
        <v>45181</v>
      </c>
      <c r="E137" t="s">
        <v>1372</v>
      </c>
      <c r="F137" t="s">
        <v>1376</v>
      </c>
      <c r="G137" t="s">
        <v>1379</v>
      </c>
      <c r="H137" t="s">
        <v>1385</v>
      </c>
      <c r="I137" t="s">
        <v>1388</v>
      </c>
      <c r="J137" t="s">
        <v>1394</v>
      </c>
      <c r="K137" t="s">
        <v>1398</v>
      </c>
      <c r="L137" t="s">
        <v>1515</v>
      </c>
      <c r="M137" s="3">
        <v>29.65</v>
      </c>
      <c r="N137">
        <v>2</v>
      </c>
      <c r="O137" s="3">
        <v>0.2</v>
      </c>
      <c r="P137" s="3">
        <v>-3.94</v>
      </c>
      <c r="Q137" s="3">
        <f>Table1_1[[#This Row],[Sales]]/Table1_1[[#This Row],[Quantity]]</f>
        <v>14.824999999999999</v>
      </c>
    </row>
    <row r="138" spans="1:17" hidden="1" x14ac:dyDescent="0.3">
      <c r="A138" t="s">
        <v>151</v>
      </c>
      <c r="B138" s="2" t="e">
        <f t="shared" si="4"/>
        <v>#VALUE!</v>
      </c>
      <c r="C138" t="s">
        <v>1787</v>
      </c>
      <c r="D138" s="2">
        <v>45141</v>
      </c>
      <c r="E138" t="s">
        <v>1362</v>
      </c>
      <c r="F138" t="s">
        <v>1374</v>
      </c>
      <c r="G138" t="s">
        <v>1379</v>
      </c>
      <c r="H138" t="s">
        <v>1387</v>
      </c>
      <c r="I138" t="s">
        <v>1388</v>
      </c>
      <c r="J138" t="s">
        <v>1394</v>
      </c>
      <c r="K138" t="s">
        <v>1398</v>
      </c>
      <c r="L138" t="s">
        <v>1422</v>
      </c>
      <c r="M138" s="3">
        <v>360.55</v>
      </c>
      <c r="N138">
        <v>7</v>
      </c>
      <c r="O138" s="3">
        <v>0</v>
      </c>
      <c r="P138" s="3">
        <v>9.08</v>
      </c>
      <c r="Q138" s="3">
        <f>Table1_1[[#This Row],[Sales]]/Table1_1[[#This Row],[Quantity]]</f>
        <v>51.50714285714286</v>
      </c>
    </row>
    <row r="139" spans="1:17" hidden="1" x14ac:dyDescent="0.3">
      <c r="A139" t="s">
        <v>152</v>
      </c>
      <c r="B139" s="2" t="e">
        <f t="shared" si="4"/>
        <v>#VALUE!</v>
      </c>
      <c r="C139" t="s">
        <v>1788</v>
      </c>
      <c r="D139" s="2">
        <v>44950</v>
      </c>
      <c r="E139" t="s">
        <v>1369</v>
      </c>
      <c r="F139" t="s">
        <v>1375</v>
      </c>
      <c r="G139" t="s">
        <v>1704</v>
      </c>
      <c r="H139" t="s">
        <v>1382</v>
      </c>
      <c r="I139" t="s">
        <v>1391</v>
      </c>
      <c r="J139" t="s">
        <v>1393</v>
      </c>
      <c r="K139" t="s">
        <v>1399</v>
      </c>
      <c r="L139" t="s">
        <v>1516</v>
      </c>
      <c r="M139" s="3">
        <v>910.86</v>
      </c>
      <c r="N139">
        <v>4</v>
      </c>
      <c r="O139" s="3">
        <v>0</v>
      </c>
      <c r="P139" s="3">
        <v>49.7</v>
      </c>
      <c r="Q139" s="3">
        <f>Table1_1[[#This Row],[Sales]]/Table1_1[[#This Row],[Quantity]]</f>
        <v>227.715</v>
      </c>
    </row>
    <row r="140" spans="1:17" x14ac:dyDescent="0.3">
      <c r="A140" t="s">
        <v>153</v>
      </c>
      <c r="B140" s="2">
        <f t="shared" si="4"/>
        <v>45093</v>
      </c>
      <c r="C140" t="s">
        <v>650</v>
      </c>
      <c r="D140" s="2">
        <v>45101</v>
      </c>
      <c r="E140" t="s">
        <v>1368</v>
      </c>
      <c r="F140" t="s">
        <v>1374</v>
      </c>
      <c r="G140" t="s">
        <v>1379</v>
      </c>
      <c r="H140" t="s">
        <v>1383</v>
      </c>
      <c r="I140" t="s">
        <v>1391</v>
      </c>
      <c r="J140" t="s">
        <v>1392</v>
      </c>
      <c r="K140" t="s">
        <v>1395</v>
      </c>
      <c r="L140" t="s">
        <v>1424</v>
      </c>
      <c r="M140" s="3">
        <v>1073.9000000000001</v>
      </c>
      <c r="N140">
        <v>3</v>
      </c>
      <c r="O140" s="3">
        <v>0.15</v>
      </c>
      <c r="P140" s="3">
        <v>285.32</v>
      </c>
      <c r="Q140" s="3">
        <f>Table1_1[[#This Row],[Sales]]/Table1_1[[#This Row],[Quantity]]</f>
        <v>357.9666666666667</v>
      </c>
    </row>
    <row r="141" spans="1:17" x14ac:dyDescent="0.3">
      <c r="A141" t="s">
        <v>154</v>
      </c>
      <c r="B141" s="2">
        <f t="shared" si="4"/>
        <v>45410</v>
      </c>
      <c r="C141" t="s">
        <v>651</v>
      </c>
      <c r="D141" s="2">
        <v>45419</v>
      </c>
      <c r="E141" t="s">
        <v>1362</v>
      </c>
      <c r="F141" t="s">
        <v>1375</v>
      </c>
      <c r="G141" t="s">
        <v>1704</v>
      </c>
      <c r="H141" t="s">
        <v>1383</v>
      </c>
      <c r="I141" t="s">
        <v>1391</v>
      </c>
      <c r="J141" t="s">
        <v>1393</v>
      </c>
      <c r="K141" t="s">
        <v>1399</v>
      </c>
      <c r="L141" t="s">
        <v>1517</v>
      </c>
      <c r="M141" s="3">
        <v>856.31</v>
      </c>
      <c r="N141">
        <v>5</v>
      </c>
      <c r="O141" s="3">
        <v>0.2</v>
      </c>
      <c r="P141" s="3">
        <v>178</v>
      </c>
      <c r="Q141" s="3">
        <f>Table1_1[[#This Row],[Sales]]/Table1_1[[#This Row],[Quantity]]</f>
        <v>171.262</v>
      </c>
    </row>
    <row r="142" spans="1:17" x14ac:dyDescent="0.3">
      <c r="A142" t="s">
        <v>155</v>
      </c>
      <c r="B142" s="2">
        <f t="shared" si="4"/>
        <v>45455</v>
      </c>
      <c r="C142" t="s">
        <v>1789</v>
      </c>
      <c r="D142" s="2">
        <v>45456</v>
      </c>
      <c r="E142" t="s">
        <v>1360</v>
      </c>
      <c r="F142" t="s">
        <v>1375</v>
      </c>
      <c r="G142" t="s">
        <v>1704</v>
      </c>
      <c r="H142" t="s">
        <v>1387</v>
      </c>
      <c r="I142" t="s">
        <v>1390</v>
      </c>
      <c r="J142" t="s">
        <v>1393</v>
      </c>
      <c r="K142" t="s">
        <v>1399</v>
      </c>
      <c r="L142" t="s">
        <v>1518</v>
      </c>
      <c r="M142" s="3">
        <v>333.33</v>
      </c>
      <c r="N142">
        <v>10</v>
      </c>
      <c r="O142" s="3">
        <v>0</v>
      </c>
      <c r="P142" s="3">
        <v>-28.74</v>
      </c>
      <c r="Q142" s="3">
        <f>Table1_1[[#This Row],[Sales]]/Table1_1[[#This Row],[Quantity]]</f>
        <v>33.332999999999998</v>
      </c>
    </row>
    <row r="143" spans="1:17" x14ac:dyDescent="0.3">
      <c r="A143" t="s">
        <v>156</v>
      </c>
      <c r="B143" s="2">
        <f t="shared" si="4"/>
        <v>45148</v>
      </c>
      <c r="C143" t="s">
        <v>1790</v>
      </c>
      <c r="D143" s="2">
        <v>45150</v>
      </c>
      <c r="E143" t="s">
        <v>1365</v>
      </c>
      <c r="F143" t="s">
        <v>1374</v>
      </c>
      <c r="G143" t="s">
        <v>1704</v>
      </c>
      <c r="H143" t="s">
        <v>1386</v>
      </c>
      <c r="I143" t="s">
        <v>1388</v>
      </c>
      <c r="J143" t="s">
        <v>1392</v>
      </c>
      <c r="K143" t="s">
        <v>1401</v>
      </c>
      <c r="L143" t="s">
        <v>1519</v>
      </c>
      <c r="M143" s="3">
        <v>540.42999999999995</v>
      </c>
      <c r="N143">
        <v>7</v>
      </c>
      <c r="O143" s="3">
        <v>0.1</v>
      </c>
      <c r="P143" s="3">
        <v>3.5</v>
      </c>
      <c r="Q143" s="3">
        <f>Table1_1[[#This Row],[Sales]]/Table1_1[[#This Row],[Quantity]]</f>
        <v>77.204285714285703</v>
      </c>
    </row>
    <row r="144" spans="1:17" x14ac:dyDescent="0.3">
      <c r="A144" t="s">
        <v>157</v>
      </c>
      <c r="B144" s="2">
        <f t="shared" si="4"/>
        <v>44703</v>
      </c>
      <c r="C144" t="s">
        <v>1791</v>
      </c>
      <c r="D144" s="2">
        <v>44712</v>
      </c>
      <c r="E144" t="s">
        <v>1365</v>
      </c>
      <c r="F144" t="s">
        <v>1376</v>
      </c>
      <c r="G144" t="s">
        <v>1379</v>
      </c>
      <c r="H144" t="s">
        <v>1382</v>
      </c>
      <c r="I144" t="s">
        <v>1391</v>
      </c>
      <c r="J144" t="s">
        <v>1392</v>
      </c>
      <c r="K144" t="s">
        <v>1395</v>
      </c>
      <c r="L144" t="s">
        <v>1520</v>
      </c>
      <c r="M144" s="3">
        <v>403.56</v>
      </c>
      <c r="N144">
        <v>8</v>
      </c>
      <c r="O144" s="3">
        <v>0</v>
      </c>
      <c r="P144" s="3">
        <v>-4.68</v>
      </c>
      <c r="Q144" s="3">
        <f>Table1_1[[#This Row],[Sales]]/Table1_1[[#This Row],[Quantity]]</f>
        <v>50.445</v>
      </c>
    </row>
    <row r="145" spans="1:17" x14ac:dyDescent="0.3">
      <c r="A145" t="s">
        <v>158</v>
      </c>
      <c r="B145" s="2">
        <f t="shared" si="4"/>
        <v>45235</v>
      </c>
      <c r="C145" t="s">
        <v>1792</v>
      </c>
      <c r="D145" s="2">
        <v>45061</v>
      </c>
      <c r="E145" t="s">
        <v>1370</v>
      </c>
      <c r="F145" t="s">
        <v>1374</v>
      </c>
      <c r="G145" t="s">
        <v>1704</v>
      </c>
      <c r="H145" t="s">
        <v>1384</v>
      </c>
      <c r="I145" t="s">
        <v>1389</v>
      </c>
      <c r="J145" t="s">
        <v>1392</v>
      </c>
      <c r="K145" t="s">
        <v>1397</v>
      </c>
      <c r="L145" t="s">
        <v>1521</v>
      </c>
      <c r="M145" s="3">
        <v>678.54</v>
      </c>
      <c r="N145">
        <v>4</v>
      </c>
      <c r="O145" s="3">
        <v>0.15</v>
      </c>
      <c r="P145" s="3">
        <v>125.93</v>
      </c>
      <c r="Q145" s="3">
        <f>Table1_1[[#This Row],[Sales]]/Table1_1[[#This Row],[Quantity]]</f>
        <v>169.63499999999999</v>
      </c>
    </row>
    <row r="146" spans="1:17" x14ac:dyDescent="0.3">
      <c r="A146" t="s">
        <v>159</v>
      </c>
      <c r="B146" s="2">
        <f t="shared" si="4"/>
        <v>45135</v>
      </c>
      <c r="C146" t="s">
        <v>656</v>
      </c>
      <c r="D146" s="2">
        <v>45140</v>
      </c>
      <c r="E146" t="s">
        <v>1371</v>
      </c>
      <c r="F146" t="s">
        <v>1376</v>
      </c>
      <c r="G146" t="s">
        <v>1379</v>
      </c>
      <c r="H146" t="s">
        <v>1384</v>
      </c>
      <c r="I146" t="s">
        <v>1388</v>
      </c>
      <c r="J146" t="s">
        <v>1394</v>
      </c>
      <c r="K146" t="s">
        <v>1402</v>
      </c>
      <c r="L146" t="s">
        <v>1449</v>
      </c>
      <c r="M146" s="3">
        <v>696.7</v>
      </c>
      <c r="N146">
        <v>9</v>
      </c>
      <c r="O146" s="3">
        <v>0.2</v>
      </c>
      <c r="P146" s="3">
        <v>172.7</v>
      </c>
      <c r="Q146" s="3">
        <f>Table1_1[[#This Row],[Sales]]/Table1_1[[#This Row],[Quantity]]</f>
        <v>77.411111111111111</v>
      </c>
    </row>
    <row r="147" spans="1:17" hidden="1" x14ac:dyDescent="0.3">
      <c r="A147" t="s">
        <v>160</v>
      </c>
      <c r="B147" s="2" t="e">
        <f t="shared" si="4"/>
        <v>#VALUE!</v>
      </c>
      <c r="C147" t="s">
        <v>1793</v>
      </c>
      <c r="D147" s="2">
        <v>45019</v>
      </c>
      <c r="E147" t="s">
        <v>1371</v>
      </c>
      <c r="F147" t="s">
        <v>1375</v>
      </c>
      <c r="G147" t="s">
        <v>1704</v>
      </c>
      <c r="H147" t="s">
        <v>1387</v>
      </c>
      <c r="I147" t="s">
        <v>1388</v>
      </c>
      <c r="J147" t="s">
        <v>1393</v>
      </c>
      <c r="K147" t="s">
        <v>1399</v>
      </c>
      <c r="L147" t="s">
        <v>1522</v>
      </c>
      <c r="M147" s="3">
        <v>272.5</v>
      </c>
      <c r="N147">
        <v>9</v>
      </c>
      <c r="O147" s="3">
        <v>0.15</v>
      </c>
      <c r="P147" s="3">
        <v>72.62</v>
      </c>
      <c r="Q147" s="3">
        <f>Table1_1[[#This Row],[Sales]]/Table1_1[[#This Row],[Quantity]]</f>
        <v>30.277777777777779</v>
      </c>
    </row>
    <row r="148" spans="1:17" x14ac:dyDescent="0.3">
      <c r="A148" t="s">
        <v>161</v>
      </c>
      <c r="B148" s="2">
        <f t="shared" si="4"/>
        <v>45105</v>
      </c>
      <c r="C148" t="s">
        <v>1794</v>
      </c>
      <c r="D148" s="2">
        <v>45109</v>
      </c>
      <c r="E148" t="s">
        <v>1363</v>
      </c>
      <c r="F148" t="s">
        <v>1374</v>
      </c>
      <c r="G148" t="s">
        <v>1704</v>
      </c>
      <c r="H148" t="s">
        <v>1385</v>
      </c>
      <c r="I148" t="s">
        <v>1389</v>
      </c>
      <c r="J148" t="s">
        <v>1393</v>
      </c>
      <c r="K148" t="s">
        <v>1400</v>
      </c>
      <c r="L148" t="s">
        <v>1523</v>
      </c>
      <c r="M148" s="3">
        <v>81.94</v>
      </c>
      <c r="N148">
        <v>7</v>
      </c>
      <c r="O148" s="3">
        <v>0.15</v>
      </c>
      <c r="P148" s="3">
        <v>13</v>
      </c>
      <c r="Q148" s="3">
        <f>Table1_1[[#This Row],[Sales]]/Table1_1[[#This Row],[Quantity]]</f>
        <v>11.705714285714285</v>
      </c>
    </row>
    <row r="149" spans="1:17" x14ac:dyDescent="0.3">
      <c r="A149" t="s">
        <v>162</v>
      </c>
      <c r="B149" s="2">
        <f t="shared" si="4"/>
        <v>45228</v>
      </c>
      <c r="C149" t="s">
        <v>1795</v>
      </c>
      <c r="D149" s="2">
        <v>45232</v>
      </c>
      <c r="E149" t="s">
        <v>1364</v>
      </c>
      <c r="F149" t="s">
        <v>1374</v>
      </c>
      <c r="G149" t="s">
        <v>1379</v>
      </c>
      <c r="H149" t="s">
        <v>1387</v>
      </c>
      <c r="I149" t="s">
        <v>1389</v>
      </c>
      <c r="J149" t="s">
        <v>1394</v>
      </c>
      <c r="K149" t="s">
        <v>1403</v>
      </c>
      <c r="L149" t="s">
        <v>1489</v>
      </c>
      <c r="M149" s="3">
        <v>356.79</v>
      </c>
      <c r="N149">
        <v>1</v>
      </c>
      <c r="O149" s="3">
        <v>0</v>
      </c>
      <c r="P149" s="3">
        <v>45.01</v>
      </c>
      <c r="Q149" s="3">
        <f>Table1_1[[#This Row],[Sales]]/Table1_1[[#This Row],[Quantity]]</f>
        <v>356.79</v>
      </c>
    </row>
    <row r="150" spans="1:17" x14ac:dyDescent="0.3">
      <c r="A150" t="s">
        <v>163</v>
      </c>
      <c r="B150" s="2">
        <f t="shared" si="4"/>
        <v>44744</v>
      </c>
      <c r="C150" t="s">
        <v>1796</v>
      </c>
      <c r="D150" s="2">
        <v>44606</v>
      </c>
      <c r="E150" t="s">
        <v>1359</v>
      </c>
      <c r="F150" t="s">
        <v>1376</v>
      </c>
      <c r="G150" t="s">
        <v>1379</v>
      </c>
      <c r="H150" t="s">
        <v>1385</v>
      </c>
      <c r="I150" t="s">
        <v>1389</v>
      </c>
      <c r="J150" t="s">
        <v>1394</v>
      </c>
      <c r="K150" t="s">
        <v>1402</v>
      </c>
      <c r="L150" t="s">
        <v>1477</v>
      </c>
      <c r="M150" s="3">
        <v>1125.2</v>
      </c>
      <c r="N150">
        <v>5</v>
      </c>
      <c r="O150" s="3">
        <v>0</v>
      </c>
      <c r="P150" s="3">
        <v>-219.83</v>
      </c>
      <c r="Q150" s="3">
        <f>Table1_1[[#This Row],[Sales]]/Table1_1[[#This Row],[Quantity]]</f>
        <v>225.04000000000002</v>
      </c>
    </row>
    <row r="151" spans="1:17" x14ac:dyDescent="0.3">
      <c r="A151" t="s">
        <v>164</v>
      </c>
      <c r="B151" s="2">
        <f t="shared" si="4"/>
        <v>45433</v>
      </c>
      <c r="C151" t="s">
        <v>661</v>
      </c>
      <c r="D151" s="2">
        <v>45442</v>
      </c>
      <c r="E151" t="s">
        <v>1362</v>
      </c>
      <c r="F151" t="s">
        <v>1375</v>
      </c>
      <c r="G151" t="s">
        <v>1379</v>
      </c>
      <c r="H151" t="s">
        <v>1382</v>
      </c>
      <c r="I151" t="s">
        <v>1391</v>
      </c>
      <c r="J151" t="s">
        <v>1394</v>
      </c>
      <c r="K151" t="s">
        <v>1403</v>
      </c>
      <c r="L151" t="s">
        <v>1524</v>
      </c>
      <c r="M151" s="3">
        <v>247.52</v>
      </c>
      <c r="N151">
        <v>2</v>
      </c>
      <c r="O151" s="3">
        <v>0.15</v>
      </c>
      <c r="P151" s="3">
        <v>-29.39</v>
      </c>
      <c r="Q151" s="3">
        <f>Table1_1[[#This Row],[Sales]]/Table1_1[[#This Row],[Quantity]]</f>
        <v>123.76</v>
      </c>
    </row>
    <row r="152" spans="1:17" x14ac:dyDescent="0.3">
      <c r="A152" t="s">
        <v>165</v>
      </c>
      <c r="B152" s="2">
        <f t="shared" si="4"/>
        <v>45143</v>
      </c>
      <c r="C152" t="s">
        <v>1797</v>
      </c>
      <c r="D152" s="2">
        <v>45147</v>
      </c>
      <c r="E152" t="s">
        <v>1365</v>
      </c>
      <c r="F152" t="s">
        <v>1375</v>
      </c>
      <c r="G152" t="s">
        <v>1704</v>
      </c>
      <c r="H152" t="s">
        <v>1387</v>
      </c>
      <c r="I152" t="s">
        <v>1389</v>
      </c>
      <c r="J152" t="s">
        <v>1392</v>
      </c>
      <c r="K152" t="s">
        <v>1395</v>
      </c>
      <c r="L152" t="s">
        <v>1525</v>
      </c>
      <c r="M152" s="3">
        <v>1030.25</v>
      </c>
      <c r="N152">
        <v>7</v>
      </c>
      <c r="O152" s="3">
        <v>0.2</v>
      </c>
      <c r="P152" s="3">
        <v>59.38</v>
      </c>
      <c r="Q152" s="3">
        <f>Table1_1[[#This Row],[Sales]]/Table1_1[[#This Row],[Quantity]]</f>
        <v>147.17857142857142</v>
      </c>
    </row>
    <row r="153" spans="1:17" x14ac:dyDescent="0.3">
      <c r="A153" t="s">
        <v>166</v>
      </c>
      <c r="B153" s="2">
        <f t="shared" si="4"/>
        <v>44904</v>
      </c>
      <c r="C153" t="s">
        <v>1798</v>
      </c>
      <c r="D153" s="2">
        <v>44817</v>
      </c>
      <c r="E153" t="s">
        <v>1359</v>
      </c>
      <c r="F153" t="s">
        <v>1376</v>
      </c>
      <c r="G153" t="s">
        <v>1379</v>
      </c>
      <c r="H153" t="s">
        <v>1382</v>
      </c>
      <c r="I153" t="s">
        <v>1390</v>
      </c>
      <c r="J153" t="s">
        <v>1394</v>
      </c>
      <c r="K153" t="s">
        <v>1403</v>
      </c>
      <c r="L153" t="s">
        <v>1421</v>
      </c>
      <c r="M153" s="3">
        <v>297.92</v>
      </c>
      <c r="N153">
        <v>5</v>
      </c>
      <c r="O153" s="3">
        <v>0.15</v>
      </c>
      <c r="P153" s="3">
        <v>-14.61</v>
      </c>
      <c r="Q153" s="3">
        <f>Table1_1[[#This Row],[Sales]]/Table1_1[[#This Row],[Quantity]]</f>
        <v>59.584000000000003</v>
      </c>
    </row>
    <row r="154" spans="1:17" hidden="1" x14ac:dyDescent="0.3">
      <c r="A154" t="s">
        <v>167</v>
      </c>
      <c r="B154" s="2" t="e">
        <f t="shared" si="4"/>
        <v>#VALUE!</v>
      </c>
      <c r="C154" t="s">
        <v>1799</v>
      </c>
      <c r="D154" s="2">
        <v>45247</v>
      </c>
      <c r="E154" t="s">
        <v>1372</v>
      </c>
      <c r="F154" t="s">
        <v>1374</v>
      </c>
      <c r="G154" t="s">
        <v>1704</v>
      </c>
      <c r="H154" t="s">
        <v>1387</v>
      </c>
      <c r="I154" t="s">
        <v>1390</v>
      </c>
      <c r="J154" t="s">
        <v>1394</v>
      </c>
      <c r="K154" t="s">
        <v>1403</v>
      </c>
      <c r="L154" t="s">
        <v>1526</v>
      </c>
      <c r="M154" s="3">
        <v>208.47</v>
      </c>
      <c r="N154">
        <v>9</v>
      </c>
      <c r="O154" s="3">
        <v>0.15</v>
      </c>
      <c r="P154" s="3">
        <v>30.26</v>
      </c>
      <c r="Q154" s="3">
        <f>Table1_1[[#This Row],[Sales]]/Table1_1[[#This Row],[Quantity]]</f>
        <v>23.163333333333334</v>
      </c>
    </row>
    <row r="155" spans="1:17" x14ac:dyDescent="0.3">
      <c r="A155" t="s">
        <v>168</v>
      </c>
      <c r="B155" s="2">
        <f t="shared" si="4"/>
        <v>44718</v>
      </c>
      <c r="C155" t="s">
        <v>1800</v>
      </c>
      <c r="D155" s="2">
        <v>44726</v>
      </c>
      <c r="E155" t="s">
        <v>1363</v>
      </c>
      <c r="F155" t="s">
        <v>1374</v>
      </c>
      <c r="G155" t="s">
        <v>1379</v>
      </c>
      <c r="H155" t="s">
        <v>1383</v>
      </c>
      <c r="I155" t="s">
        <v>1389</v>
      </c>
      <c r="J155" t="s">
        <v>1393</v>
      </c>
      <c r="K155" t="s">
        <v>1396</v>
      </c>
      <c r="L155" t="s">
        <v>1527</v>
      </c>
      <c r="M155" s="3">
        <v>460.88</v>
      </c>
      <c r="N155">
        <v>9</v>
      </c>
      <c r="O155" s="3">
        <v>0.2</v>
      </c>
      <c r="P155" s="3">
        <v>82.35</v>
      </c>
      <c r="Q155" s="3">
        <f>Table1_1[[#This Row],[Sales]]/Table1_1[[#This Row],[Quantity]]</f>
        <v>51.208888888888886</v>
      </c>
    </row>
    <row r="156" spans="1:17" hidden="1" x14ac:dyDescent="0.3">
      <c r="A156" t="s">
        <v>169</v>
      </c>
      <c r="B156" s="2" t="e">
        <f t="shared" si="4"/>
        <v>#VALUE!</v>
      </c>
      <c r="C156" t="s">
        <v>1801</v>
      </c>
      <c r="D156" s="2">
        <v>45288</v>
      </c>
      <c r="E156" t="s">
        <v>1363</v>
      </c>
      <c r="F156" t="s">
        <v>1376</v>
      </c>
      <c r="G156" t="s">
        <v>1704</v>
      </c>
      <c r="H156" t="s">
        <v>1381</v>
      </c>
      <c r="I156" t="s">
        <v>1390</v>
      </c>
      <c r="J156" t="s">
        <v>1392</v>
      </c>
      <c r="K156" t="s">
        <v>1395</v>
      </c>
      <c r="L156" t="s">
        <v>1528</v>
      </c>
      <c r="M156" s="3">
        <v>152.41</v>
      </c>
      <c r="N156">
        <v>9</v>
      </c>
      <c r="O156" s="3">
        <v>0</v>
      </c>
      <c r="P156" s="3">
        <v>-15.08</v>
      </c>
      <c r="Q156" s="3">
        <f>Table1_1[[#This Row],[Sales]]/Table1_1[[#This Row],[Quantity]]</f>
        <v>16.934444444444445</v>
      </c>
    </row>
    <row r="157" spans="1:17" x14ac:dyDescent="0.3">
      <c r="A157" t="s">
        <v>170</v>
      </c>
      <c r="B157" s="2">
        <f t="shared" si="4"/>
        <v>45159</v>
      </c>
      <c r="C157" t="s">
        <v>667</v>
      </c>
      <c r="D157" s="2">
        <v>45167</v>
      </c>
      <c r="E157" t="s">
        <v>1365</v>
      </c>
      <c r="F157" t="s">
        <v>1375</v>
      </c>
      <c r="G157" t="s">
        <v>1704</v>
      </c>
      <c r="H157" t="s">
        <v>1382</v>
      </c>
      <c r="I157" t="s">
        <v>1391</v>
      </c>
      <c r="J157" t="s">
        <v>1392</v>
      </c>
      <c r="K157" t="s">
        <v>1395</v>
      </c>
      <c r="L157" t="s">
        <v>1412</v>
      </c>
      <c r="M157" s="3">
        <v>545.66999999999996</v>
      </c>
      <c r="N157">
        <v>1</v>
      </c>
      <c r="O157" s="3">
        <v>0.2</v>
      </c>
      <c r="P157" s="3">
        <v>-73.13</v>
      </c>
      <c r="Q157" s="3">
        <f>Table1_1[[#This Row],[Sales]]/Table1_1[[#This Row],[Quantity]]</f>
        <v>545.66999999999996</v>
      </c>
    </row>
    <row r="158" spans="1:17" x14ac:dyDescent="0.3">
      <c r="A158" t="s">
        <v>171</v>
      </c>
      <c r="B158" s="2">
        <f t="shared" si="4"/>
        <v>44584</v>
      </c>
      <c r="C158" t="s">
        <v>668</v>
      </c>
      <c r="D158" s="2">
        <v>44591</v>
      </c>
      <c r="E158" t="s">
        <v>1361</v>
      </c>
      <c r="F158" t="s">
        <v>1375</v>
      </c>
      <c r="G158" t="s">
        <v>1379</v>
      </c>
      <c r="H158" t="s">
        <v>1385</v>
      </c>
      <c r="I158" t="s">
        <v>1388</v>
      </c>
      <c r="J158" t="s">
        <v>1394</v>
      </c>
      <c r="K158" t="s">
        <v>1402</v>
      </c>
      <c r="L158" t="s">
        <v>1529</v>
      </c>
      <c r="M158" s="3">
        <v>900.05</v>
      </c>
      <c r="N158">
        <v>10</v>
      </c>
      <c r="O158" s="3">
        <v>0</v>
      </c>
      <c r="P158" s="3">
        <v>-159.63</v>
      </c>
      <c r="Q158" s="3">
        <f>Table1_1[[#This Row],[Sales]]/Table1_1[[#This Row],[Quantity]]</f>
        <v>90.004999999999995</v>
      </c>
    </row>
    <row r="159" spans="1:17" x14ac:dyDescent="0.3">
      <c r="A159" t="s">
        <v>172</v>
      </c>
      <c r="B159" s="2">
        <f t="shared" si="4"/>
        <v>44980</v>
      </c>
      <c r="C159" t="s">
        <v>669</v>
      </c>
      <c r="D159" s="2">
        <v>44983</v>
      </c>
      <c r="E159" t="s">
        <v>1373</v>
      </c>
      <c r="F159" t="s">
        <v>1376</v>
      </c>
      <c r="G159" t="s">
        <v>1379</v>
      </c>
      <c r="H159" t="s">
        <v>1382</v>
      </c>
      <c r="I159" t="s">
        <v>1390</v>
      </c>
      <c r="J159" t="s">
        <v>1392</v>
      </c>
      <c r="K159" t="s">
        <v>1395</v>
      </c>
      <c r="L159" t="s">
        <v>1530</v>
      </c>
      <c r="M159" s="3">
        <v>1174.43</v>
      </c>
      <c r="N159">
        <v>7</v>
      </c>
      <c r="O159" s="3">
        <v>0.15</v>
      </c>
      <c r="P159" s="3">
        <v>348.13</v>
      </c>
      <c r="Q159" s="3">
        <f>Table1_1[[#This Row],[Sales]]/Table1_1[[#This Row],[Quantity]]</f>
        <v>167.77571428571429</v>
      </c>
    </row>
    <row r="160" spans="1:17" x14ac:dyDescent="0.3">
      <c r="A160" t="s">
        <v>173</v>
      </c>
      <c r="B160" s="2">
        <f t="shared" si="4"/>
        <v>45442</v>
      </c>
      <c r="C160" t="s">
        <v>1802</v>
      </c>
      <c r="D160" s="2">
        <v>45448</v>
      </c>
      <c r="E160" t="s">
        <v>1369</v>
      </c>
      <c r="F160" t="s">
        <v>1376</v>
      </c>
      <c r="G160" t="s">
        <v>1704</v>
      </c>
      <c r="H160" t="s">
        <v>1382</v>
      </c>
      <c r="I160" t="s">
        <v>1389</v>
      </c>
      <c r="J160" t="s">
        <v>1392</v>
      </c>
      <c r="K160" t="s">
        <v>1401</v>
      </c>
      <c r="L160" t="s">
        <v>1531</v>
      </c>
      <c r="M160" s="3">
        <v>1191.56</v>
      </c>
      <c r="N160">
        <v>7</v>
      </c>
      <c r="O160" s="3">
        <v>0</v>
      </c>
      <c r="P160" s="3">
        <v>-162.44</v>
      </c>
      <c r="Q160" s="3">
        <f>Table1_1[[#This Row],[Sales]]/Table1_1[[#This Row],[Quantity]]</f>
        <v>170.22285714285712</v>
      </c>
    </row>
    <row r="161" spans="1:17" hidden="1" x14ac:dyDescent="0.3">
      <c r="A161" t="s">
        <v>174</v>
      </c>
      <c r="B161" s="2" t="e">
        <f t="shared" si="4"/>
        <v>#VALUE!</v>
      </c>
      <c r="C161" t="s">
        <v>1803</v>
      </c>
      <c r="D161" s="2">
        <v>44954</v>
      </c>
      <c r="E161" t="s">
        <v>1369</v>
      </c>
      <c r="F161" t="s">
        <v>1374</v>
      </c>
      <c r="G161" t="s">
        <v>1704</v>
      </c>
      <c r="H161" t="s">
        <v>1383</v>
      </c>
      <c r="I161" t="s">
        <v>1388</v>
      </c>
      <c r="J161" t="s">
        <v>1392</v>
      </c>
      <c r="K161" t="s">
        <v>1397</v>
      </c>
      <c r="L161" t="s">
        <v>1532</v>
      </c>
      <c r="M161" s="3">
        <v>428.47</v>
      </c>
      <c r="N161">
        <v>5</v>
      </c>
      <c r="O161" s="3">
        <v>0.1</v>
      </c>
      <c r="P161" s="3">
        <v>115.13</v>
      </c>
      <c r="Q161" s="3">
        <f>Table1_1[[#This Row],[Sales]]/Table1_1[[#This Row],[Quantity]]</f>
        <v>85.694000000000003</v>
      </c>
    </row>
    <row r="162" spans="1:17" x14ac:dyDescent="0.3">
      <c r="A162" t="s">
        <v>175</v>
      </c>
      <c r="B162" s="2">
        <f t="shared" si="4"/>
        <v>44773</v>
      </c>
      <c r="C162" t="s">
        <v>1804</v>
      </c>
      <c r="D162" s="2">
        <v>44775</v>
      </c>
      <c r="E162" t="s">
        <v>1373</v>
      </c>
      <c r="F162" t="s">
        <v>1375</v>
      </c>
      <c r="G162" t="s">
        <v>1704</v>
      </c>
      <c r="H162" t="s">
        <v>1386</v>
      </c>
      <c r="I162" t="s">
        <v>1388</v>
      </c>
      <c r="J162" t="s">
        <v>1392</v>
      </c>
      <c r="K162" t="s">
        <v>1395</v>
      </c>
      <c r="L162" t="s">
        <v>1495</v>
      </c>
      <c r="M162" s="3">
        <v>59.62</v>
      </c>
      <c r="N162">
        <v>10</v>
      </c>
      <c r="O162" s="3">
        <v>0</v>
      </c>
      <c r="P162" s="3">
        <v>-4.63</v>
      </c>
      <c r="Q162" s="3">
        <f>Table1_1[[#This Row],[Sales]]/Table1_1[[#This Row],[Quantity]]</f>
        <v>5.9619999999999997</v>
      </c>
    </row>
    <row r="163" spans="1:17" x14ac:dyDescent="0.3">
      <c r="A163" t="s">
        <v>176</v>
      </c>
      <c r="B163" s="2">
        <f t="shared" si="4"/>
        <v>45077</v>
      </c>
      <c r="C163" t="s">
        <v>673</v>
      </c>
      <c r="D163" s="2">
        <v>45082</v>
      </c>
      <c r="E163" t="s">
        <v>1368</v>
      </c>
      <c r="F163" t="s">
        <v>1375</v>
      </c>
      <c r="G163" t="s">
        <v>1704</v>
      </c>
      <c r="H163" t="s">
        <v>1385</v>
      </c>
      <c r="I163" t="s">
        <v>1391</v>
      </c>
      <c r="J163" t="s">
        <v>1392</v>
      </c>
      <c r="K163" t="s">
        <v>1395</v>
      </c>
      <c r="L163" t="s">
        <v>1475</v>
      </c>
      <c r="M163" s="3">
        <v>699.81</v>
      </c>
      <c r="N163">
        <v>10</v>
      </c>
      <c r="O163" s="3">
        <v>0</v>
      </c>
      <c r="P163" s="3">
        <v>130.35</v>
      </c>
      <c r="Q163" s="3">
        <f>Table1_1[[#This Row],[Sales]]/Table1_1[[#This Row],[Quantity]]</f>
        <v>69.980999999999995</v>
      </c>
    </row>
    <row r="164" spans="1:17" x14ac:dyDescent="0.3">
      <c r="A164" t="s">
        <v>177</v>
      </c>
      <c r="B164" s="2">
        <f t="shared" si="4"/>
        <v>44624</v>
      </c>
      <c r="C164" t="s">
        <v>674</v>
      </c>
      <c r="D164" s="2">
        <v>44633</v>
      </c>
      <c r="E164" t="s">
        <v>1365</v>
      </c>
      <c r="F164" t="s">
        <v>1376</v>
      </c>
      <c r="G164" t="s">
        <v>1704</v>
      </c>
      <c r="H164" t="s">
        <v>1385</v>
      </c>
      <c r="I164" t="s">
        <v>1390</v>
      </c>
      <c r="J164" t="s">
        <v>1393</v>
      </c>
      <c r="K164" t="s">
        <v>1396</v>
      </c>
      <c r="L164" t="s">
        <v>1533</v>
      </c>
      <c r="M164" s="3">
        <v>1095.6600000000001</v>
      </c>
      <c r="N164">
        <v>7</v>
      </c>
      <c r="O164" s="3">
        <v>0</v>
      </c>
      <c r="P164" s="3">
        <v>52.38</v>
      </c>
      <c r="Q164" s="3">
        <f>Table1_1[[#This Row],[Sales]]/Table1_1[[#This Row],[Quantity]]</f>
        <v>156.52285714285716</v>
      </c>
    </row>
    <row r="165" spans="1:17" x14ac:dyDescent="0.3">
      <c r="A165" t="s">
        <v>178</v>
      </c>
      <c r="B165" s="2">
        <f t="shared" si="4"/>
        <v>44947</v>
      </c>
      <c r="C165" t="s">
        <v>1805</v>
      </c>
      <c r="D165" s="2">
        <v>44950</v>
      </c>
      <c r="E165" t="s">
        <v>1367</v>
      </c>
      <c r="F165" t="s">
        <v>1374</v>
      </c>
      <c r="G165" t="s">
        <v>1704</v>
      </c>
      <c r="H165" t="s">
        <v>1385</v>
      </c>
      <c r="I165" t="s">
        <v>1390</v>
      </c>
      <c r="J165" t="s">
        <v>1393</v>
      </c>
      <c r="K165" t="s">
        <v>1399</v>
      </c>
      <c r="L165" t="s">
        <v>1474</v>
      </c>
      <c r="M165" s="3">
        <v>304.33999999999997</v>
      </c>
      <c r="N165">
        <v>4</v>
      </c>
      <c r="O165" s="3">
        <v>0.15</v>
      </c>
      <c r="P165" s="3">
        <v>69.62</v>
      </c>
      <c r="Q165" s="3">
        <f>Table1_1[[#This Row],[Sales]]/Table1_1[[#This Row],[Quantity]]</f>
        <v>76.084999999999994</v>
      </c>
    </row>
    <row r="166" spans="1:17" x14ac:dyDescent="0.3">
      <c r="A166" t="s">
        <v>179</v>
      </c>
      <c r="B166" s="2">
        <f t="shared" si="4"/>
        <v>44721</v>
      </c>
      <c r="C166" t="s">
        <v>1806</v>
      </c>
      <c r="D166" s="2">
        <v>44815</v>
      </c>
      <c r="E166" t="s">
        <v>1363</v>
      </c>
      <c r="F166" t="s">
        <v>1376</v>
      </c>
      <c r="G166" t="s">
        <v>1704</v>
      </c>
      <c r="H166" t="s">
        <v>1382</v>
      </c>
      <c r="I166" t="s">
        <v>1388</v>
      </c>
      <c r="J166" t="s">
        <v>1392</v>
      </c>
      <c r="K166" t="s">
        <v>1397</v>
      </c>
      <c r="L166" t="s">
        <v>1534</v>
      </c>
      <c r="M166" s="3">
        <v>783.11</v>
      </c>
      <c r="N166">
        <v>8</v>
      </c>
      <c r="O166" s="3">
        <v>0.15</v>
      </c>
      <c r="P166" s="3">
        <v>-120.42</v>
      </c>
      <c r="Q166" s="3">
        <f>Table1_1[[#This Row],[Sales]]/Table1_1[[#This Row],[Quantity]]</f>
        <v>97.888750000000002</v>
      </c>
    </row>
    <row r="167" spans="1:17" x14ac:dyDescent="0.3">
      <c r="A167" t="s">
        <v>180</v>
      </c>
      <c r="B167" s="2">
        <f t="shared" si="4"/>
        <v>44754</v>
      </c>
      <c r="C167" t="s">
        <v>677</v>
      </c>
      <c r="D167" s="2">
        <v>44764</v>
      </c>
      <c r="E167" t="s">
        <v>1371</v>
      </c>
      <c r="F167" t="s">
        <v>1375</v>
      </c>
      <c r="G167" t="s">
        <v>1704</v>
      </c>
      <c r="H167" t="s">
        <v>1382</v>
      </c>
      <c r="I167" t="s">
        <v>1388</v>
      </c>
      <c r="J167" t="s">
        <v>1393</v>
      </c>
      <c r="K167" t="s">
        <v>1396</v>
      </c>
      <c r="L167" t="s">
        <v>1535</v>
      </c>
      <c r="M167" s="3">
        <v>679.44</v>
      </c>
      <c r="N167">
        <v>8</v>
      </c>
      <c r="O167" s="3">
        <v>0.1</v>
      </c>
      <c r="P167" s="3">
        <v>159.49</v>
      </c>
      <c r="Q167" s="3">
        <f>Table1_1[[#This Row],[Sales]]/Table1_1[[#This Row],[Quantity]]</f>
        <v>84.93</v>
      </c>
    </row>
    <row r="168" spans="1:17" x14ac:dyDescent="0.3">
      <c r="A168" t="s">
        <v>181</v>
      </c>
      <c r="B168" s="2">
        <f t="shared" si="4"/>
        <v>45628</v>
      </c>
      <c r="C168" t="s">
        <v>1807</v>
      </c>
      <c r="D168" s="2">
        <v>45342</v>
      </c>
      <c r="E168" t="s">
        <v>1372</v>
      </c>
      <c r="F168" t="s">
        <v>1376</v>
      </c>
      <c r="G168" t="s">
        <v>1704</v>
      </c>
      <c r="H168" t="s">
        <v>1383</v>
      </c>
      <c r="I168" t="s">
        <v>1391</v>
      </c>
      <c r="J168" t="s">
        <v>1392</v>
      </c>
      <c r="K168" t="s">
        <v>1395</v>
      </c>
      <c r="L168" t="s">
        <v>1496</v>
      </c>
      <c r="M168" s="3">
        <v>733.19</v>
      </c>
      <c r="N168">
        <v>4</v>
      </c>
      <c r="O168" s="3">
        <v>0.2</v>
      </c>
      <c r="P168" s="3">
        <v>188.84</v>
      </c>
      <c r="Q168" s="3">
        <f>Table1_1[[#This Row],[Sales]]/Table1_1[[#This Row],[Quantity]]</f>
        <v>183.29750000000001</v>
      </c>
    </row>
    <row r="169" spans="1:17" x14ac:dyDescent="0.3">
      <c r="A169" t="s">
        <v>182</v>
      </c>
      <c r="B169" s="2">
        <f t="shared" si="4"/>
        <v>44829</v>
      </c>
      <c r="C169" t="s">
        <v>679</v>
      </c>
      <c r="D169" s="2">
        <v>44835</v>
      </c>
      <c r="E169" t="s">
        <v>1372</v>
      </c>
      <c r="F169" t="s">
        <v>1375</v>
      </c>
      <c r="G169" t="s">
        <v>1704</v>
      </c>
      <c r="H169" t="s">
        <v>1382</v>
      </c>
      <c r="I169" t="s">
        <v>1390</v>
      </c>
      <c r="J169" t="s">
        <v>1393</v>
      </c>
      <c r="K169" t="s">
        <v>1399</v>
      </c>
      <c r="L169" t="s">
        <v>1536</v>
      </c>
      <c r="M169" s="3">
        <v>569.88</v>
      </c>
      <c r="N169">
        <v>8</v>
      </c>
      <c r="O169" s="3">
        <v>0.15</v>
      </c>
      <c r="P169" s="3">
        <v>146.55000000000001</v>
      </c>
      <c r="Q169" s="3">
        <f>Table1_1[[#This Row],[Sales]]/Table1_1[[#This Row],[Quantity]]</f>
        <v>71.234999999999999</v>
      </c>
    </row>
    <row r="170" spans="1:17" x14ac:dyDescent="0.3">
      <c r="A170" t="s">
        <v>183</v>
      </c>
      <c r="B170" s="2">
        <f t="shared" si="4"/>
        <v>44829</v>
      </c>
      <c r="C170" t="s">
        <v>1808</v>
      </c>
      <c r="D170" s="2">
        <v>44838</v>
      </c>
      <c r="E170" t="s">
        <v>1365</v>
      </c>
      <c r="F170" t="s">
        <v>1375</v>
      </c>
      <c r="G170" t="s">
        <v>1704</v>
      </c>
      <c r="H170" t="s">
        <v>1383</v>
      </c>
      <c r="I170" t="s">
        <v>1391</v>
      </c>
      <c r="J170" t="s">
        <v>1393</v>
      </c>
      <c r="K170" t="s">
        <v>1396</v>
      </c>
      <c r="L170" t="s">
        <v>1537</v>
      </c>
      <c r="M170" s="3">
        <v>869.61</v>
      </c>
      <c r="N170">
        <v>5</v>
      </c>
      <c r="O170" s="3">
        <v>0.1</v>
      </c>
      <c r="P170" s="3">
        <v>-88.62</v>
      </c>
      <c r="Q170" s="3">
        <f>Table1_1[[#This Row],[Sales]]/Table1_1[[#This Row],[Quantity]]</f>
        <v>173.922</v>
      </c>
    </row>
    <row r="171" spans="1:17" x14ac:dyDescent="0.3">
      <c r="A171" t="s">
        <v>184</v>
      </c>
      <c r="B171" s="2">
        <f t="shared" si="4"/>
        <v>45343</v>
      </c>
      <c r="C171" t="s">
        <v>681</v>
      </c>
      <c r="D171" s="2">
        <v>45351</v>
      </c>
      <c r="E171" t="s">
        <v>1363</v>
      </c>
      <c r="F171" t="s">
        <v>1374</v>
      </c>
      <c r="G171" t="s">
        <v>1704</v>
      </c>
      <c r="H171" t="s">
        <v>1387</v>
      </c>
      <c r="I171" t="s">
        <v>1388</v>
      </c>
      <c r="J171" t="s">
        <v>1393</v>
      </c>
      <c r="K171" t="s">
        <v>1396</v>
      </c>
      <c r="L171" t="s">
        <v>1527</v>
      </c>
      <c r="M171" s="3">
        <v>892.72</v>
      </c>
      <c r="N171">
        <v>8</v>
      </c>
      <c r="O171" s="3">
        <v>0.1</v>
      </c>
      <c r="P171" s="3">
        <v>148.54</v>
      </c>
      <c r="Q171" s="3">
        <f>Table1_1[[#This Row],[Sales]]/Table1_1[[#This Row],[Quantity]]</f>
        <v>111.59</v>
      </c>
    </row>
    <row r="172" spans="1:17" x14ac:dyDescent="0.3">
      <c r="A172" t="s">
        <v>185</v>
      </c>
      <c r="B172" s="2">
        <f t="shared" si="4"/>
        <v>44596</v>
      </c>
      <c r="C172" t="s">
        <v>1809</v>
      </c>
      <c r="D172" s="2">
        <v>44598</v>
      </c>
      <c r="E172" t="s">
        <v>1361</v>
      </c>
      <c r="F172" t="s">
        <v>1375</v>
      </c>
      <c r="G172" t="s">
        <v>1379</v>
      </c>
      <c r="H172" t="s">
        <v>1387</v>
      </c>
      <c r="I172" t="s">
        <v>1389</v>
      </c>
      <c r="J172" t="s">
        <v>1393</v>
      </c>
      <c r="K172" t="s">
        <v>1400</v>
      </c>
      <c r="L172" t="s">
        <v>1445</v>
      </c>
      <c r="M172" s="3">
        <v>921.92</v>
      </c>
      <c r="N172">
        <v>7</v>
      </c>
      <c r="O172" s="3">
        <v>0.1</v>
      </c>
      <c r="P172" s="3">
        <v>204</v>
      </c>
      <c r="Q172" s="3">
        <f>Table1_1[[#This Row],[Sales]]/Table1_1[[#This Row],[Quantity]]</f>
        <v>131.70285714285714</v>
      </c>
    </row>
    <row r="173" spans="1:17" x14ac:dyDescent="0.3">
      <c r="A173" t="s">
        <v>186</v>
      </c>
      <c r="B173" s="2">
        <f t="shared" si="4"/>
        <v>44623</v>
      </c>
      <c r="C173" t="s">
        <v>1810</v>
      </c>
      <c r="D173" s="2">
        <v>44633</v>
      </c>
      <c r="E173" t="s">
        <v>1360</v>
      </c>
      <c r="F173" t="s">
        <v>1375</v>
      </c>
      <c r="G173" t="s">
        <v>1379</v>
      </c>
      <c r="H173" t="s">
        <v>1383</v>
      </c>
      <c r="I173" t="s">
        <v>1391</v>
      </c>
      <c r="J173" t="s">
        <v>1393</v>
      </c>
      <c r="K173" t="s">
        <v>1396</v>
      </c>
      <c r="L173" t="s">
        <v>1538</v>
      </c>
      <c r="M173" s="3">
        <v>1122.01</v>
      </c>
      <c r="N173">
        <v>8</v>
      </c>
      <c r="O173" s="3">
        <v>0.2</v>
      </c>
      <c r="P173" s="3">
        <v>-215.58</v>
      </c>
      <c r="Q173" s="3">
        <f>Table1_1[[#This Row],[Sales]]/Table1_1[[#This Row],[Quantity]]</f>
        <v>140.25125</v>
      </c>
    </row>
    <row r="174" spans="1:17" hidden="1" x14ac:dyDescent="0.3">
      <c r="A174" t="s">
        <v>187</v>
      </c>
      <c r="B174" s="2" t="e">
        <f t="shared" si="4"/>
        <v>#VALUE!</v>
      </c>
      <c r="C174" t="s">
        <v>1811</v>
      </c>
      <c r="D174" s="2">
        <v>44856</v>
      </c>
      <c r="E174" t="s">
        <v>1363</v>
      </c>
      <c r="F174" t="s">
        <v>1375</v>
      </c>
      <c r="G174" t="s">
        <v>1379</v>
      </c>
      <c r="H174" t="s">
        <v>1386</v>
      </c>
      <c r="I174" t="s">
        <v>1391</v>
      </c>
      <c r="J174" t="s">
        <v>1393</v>
      </c>
      <c r="K174" t="s">
        <v>1396</v>
      </c>
      <c r="L174" t="s">
        <v>1539</v>
      </c>
      <c r="M174" s="3">
        <v>815.36</v>
      </c>
      <c r="N174">
        <v>3</v>
      </c>
      <c r="O174" s="3">
        <v>0</v>
      </c>
      <c r="P174" s="3">
        <v>211.2</v>
      </c>
      <c r="Q174" s="3">
        <f>Table1_1[[#This Row],[Sales]]/Table1_1[[#This Row],[Quantity]]</f>
        <v>271.78666666666669</v>
      </c>
    </row>
    <row r="175" spans="1:17" hidden="1" x14ac:dyDescent="0.3">
      <c r="A175" t="s">
        <v>188</v>
      </c>
      <c r="B175" s="2" t="e">
        <f t="shared" si="4"/>
        <v>#VALUE!</v>
      </c>
      <c r="C175" t="s">
        <v>1812</v>
      </c>
      <c r="D175" s="2">
        <v>45383</v>
      </c>
      <c r="E175" t="s">
        <v>1368</v>
      </c>
      <c r="F175" t="s">
        <v>1374</v>
      </c>
      <c r="G175" t="s">
        <v>1379</v>
      </c>
      <c r="H175" t="s">
        <v>1382</v>
      </c>
      <c r="I175" t="s">
        <v>1388</v>
      </c>
      <c r="J175" t="s">
        <v>1392</v>
      </c>
      <c r="K175" t="s">
        <v>1397</v>
      </c>
      <c r="L175" t="s">
        <v>1498</v>
      </c>
      <c r="M175" s="3">
        <v>1151.97</v>
      </c>
      <c r="N175">
        <v>8</v>
      </c>
      <c r="O175" s="3">
        <v>0</v>
      </c>
      <c r="P175" s="3">
        <v>-90.31</v>
      </c>
      <c r="Q175" s="3">
        <f>Table1_1[[#This Row],[Sales]]/Table1_1[[#This Row],[Quantity]]</f>
        <v>143.99625</v>
      </c>
    </row>
    <row r="176" spans="1:17" x14ac:dyDescent="0.3">
      <c r="A176" t="s">
        <v>189</v>
      </c>
      <c r="B176" s="2">
        <f t="shared" si="4"/>
        <v>44977</v>
      </c>
      <c r="C176" t="s">
        <v>686</v>
      </c>
      <c r="D176" s="2">
        <v>44984</v>
      </c>
      <c r="E176" t="s">
        <v>1362</v>
      </c>
      <c r="F176" t="s">
        <v>1375</v>
      </c>
      <c r="G176" t="s">
        <v>1379</v>
      </c>
      <c r="H176" t="s">
        <v>1387</v>
      </c>
      <c r="I176" t="s">
        <v>1390</v>
      </c>
      <c r="J176" t="s">
        <v>1394</v>
      </c>
      <c r="K176" t="s">
        <v>1398</v>
      </c>
      <c r="L176" t="s">
        <v>1470</v>
      </c>
      <c r="M176" s="3">
        <v>581.69000000000005</v>
      </c>
      <c r="N176">
        <v>1</v>
      </c>
      <c r="O176" s="3">
        <v>0.1</v>
      </c>
      <c r="P176" s="3">
        <v>-92.29</v>
      </c>
      <c r="Q176" s="3">
        <f>Table1_1[[#This Row],[Sales]]/Table1_1[[#This Row],[Quantity]]</f>
        <v>581.69000000000005</v>
      </c>
    </row>
    <row r="177" spans="1:17" x14ac:dyDescent="0.3">
      <c r="A177" t="s">
        <v>190</v>
      </c>
      <c r="B177" s="2">
        <f t="shared" si="4"/>
        <v>45142</v>
      </c>
      <c r="C177" t="s">
        <v>1708</v>
      </c>
      <c r="D177" s="2">
        <v>45150</v>
      </c>
      <c r="E177" t="s">
        <v>1368</v>
      </c>
      <c r="F177" t="s">
        <v>1375</v>
      </c>
      <c r="G177" t="s">
        <v>1704</v>
      </c>
      <c r="H177" t="s">
        <v>1383</v>
      </c>
      <c r="I177" t="s">
        <v>1390</v>
      </c>
      <c r="J177" t="s">
        <v>1394</v>
      </c>
      <c r="K177" t="s">
        <v>1402</v>
      </c>
      <c r="L177" t="s">
        <v>1540</v>
      </c>
      <c r="M177" s="3">
        <v>1110.51</v>
      </c>
      <c r="N177">
        <v>5</v>
      </c>
      <c r="O177" s="3">
        <v>0</v>
      </c>
      <c r="P177" s="3">
        <v>90.79</v>
      </c>
      <c r="Q177" s="3">
        <f>Table1_1[[#This Row],[Sales]]/Table1_1[[#This Row],[Quantity]]</f>
        <v>222.102</v>
      </c>
    </row>
    <row r="178" spans="1:17" x14ac:dyDescent="0.3">
      <c r="A178" t="s">
        <v>191</v>
      </c>
      <c r="B178" s="2">
        <f t="shared" si="4"/>
        <v>45402</v>
      </c>
      <c r="C178" t="s">
        <v>687</v>
      </c>
      <c r="D178" s="2">
        <v>45409</v>
      </c>
      <c r="E178" t="s">
        <v>1360</v>
      </c>
      <c r="F178" t="s">
        <v>1376</v>
      </c>
      <c r="G178" t="s">
        <v>1704</v>
      </c>
      <c r="H178" t="s">
        <v>1386</v>
      </c>
      <c r="I178" t="s">
        <v>1388</v>
      </c>
      <c r="J178" t="s">
        <v>1392</v>
      </c>
      <c r="K178" t="s">
        <v>1397</v>
      </c>
      <c r="L178" t="s">
        <v>1541</v>
      </c>
      <c r="M178" s="3">
        <v>211.69</v>
      </c>
      <c r="N178">
        <v>4</v>
      </c>
      <c r="O178" s="3">
        <v>0</v>
      </c>
      <c r="P178" s="3">
        <v>46.01</v>
      </c>
      <c r="Q178" s="3">
        <f>Table1_1[[#This Row],[Sales]]/Table1_1[[#This Row],[Quantity]]</f>
        <v>52.922499999999999</v>
      </c>
    </row>
    <row r="179" spans="1:17" x14ac:dyDescent="0.3">
      <c r="A179" t="s">
        <v>192</v>
      </c>
      <c r="B179" s="2">
        <f t="shared" si="4"/>
        <v>45353</v>
      </c>
      <c r="C179" t="s">
        <v>1813</v>
      </c>
      <c r="D179" s="2">
        <v>45331</v>
      </c>
      <c r="E179" t="s">
        <v>1360</v>
      </c>
      <c r="F179" t="s">
        <v>1376</v>
      </c>
      <c r="G179" t="s">
        <v>1379</v>
      </c>
      <c r="H179" t="s">
        <v>1382</v>
      </c>
      <c r="I179" t="s">
        <v>1391</v>
      </c>
      <c r="J179" t="s">
        <v>1392</v>
      </c>
      <c r="K179" t="s">
        <v>1401</v>
      </c>
      <c r="L179" t="s">
        <v>1542</v>
      </c>
      <c r="M179" s="3">
        <v>535.76</v>
      </c>
      <c r="N179">
        <v>2</v>
      </c>
      <c r="O179" s="3">
        <v>0.15</v>
      </c>
      <c r="P179" s="3">
        <v>54.96</v>
      </c>
      <c r="Q179" s="3">
        <f>Table1_1[[#This Row],[Sales]]/Table1_1[[#This Row],[Quantity]]</f>
        <v>267.88</v>
      </c>
    </row>
    <row r="180" spans="1:17" hidden="1" x14ac:dyDescent="0.3">
      <c r="A180" t="s">
        <v>193</v>
      </c>
      <c r="B180" s="2" t="e">
        <f t="shared" si="4"/>
        <v>#VALUE!</v>
      </c>
      <c r="C180" t="s">
        <v>1814</v>
      </c>
      <c r="D180" s="2">
        <v>45068</v>
      </c>
      <c r="E180" t="s">
        <v>1367</v>
      </c>
      <c r="F180" t="s">
        <v>1374</v>
      </c>
      <c r="G180" t="s">
        <v>1379</v>
      </c>
      <c r="H180" t="s">
        <v>1386</v>
      </c>
      <c r="I180" t="s">
        <v>1390</v>
      </c>
      <c r="J180" t="s">
        <v>1394</v>
      </c>
      <c r="K180" t="s">
        <v>1398</v>
      </c>
      <c r="L180" t="s">
        <v>1416</v>
      </c>
      <c r="M180" s="3">
        <v>1130.55</v>
      </c>
      <c r="N180">
        <v>7</v>
      </c>
      <c r="O180" s="3">
        <v>0.1</v>
      </c>
      <c r="P180" s="3">
        <v>158.1</v>
      </c>
      <c r="Q180" s="3">
        <f>Table1_1[[#This Row],[Sales]]/Table1_1[[#This Row],[Quantity]]</f>
        <v>161.50714285714284</v>
      </c>
    </row>
    <row r="181" spans="1:17" x14ac:dyDescent="0.3">
      <c r="A181" t="s">
        <v>194</v>
      </c>
      <c r="B181" s="2">
        <f t="shared" si="4"/>
        <v>44637</v>
      </c>
      <c r="C181" t="s">
        <v>1815</v>
      </c>
      <c r="D181" s="2">
        <v>44639</v>
      </c>
      <c r="E181" t="s">
        <v>1369</v>
      </c>
      <c r="F181" t="s">
        <v>1376</v>
      </c>
      <c r="G181" t="s">
        <v>1704</v>
      </c>
      <c r="H181" t="s">
        <v>1384</v>
      </c>
      <c r="I181" t="s">
        <v>1391</v>
      </c>
      <c r="J181" t="s">
        <v>1394</v>
      </c>
      <c r="K181" t="s">
        <v>1402</v>
      </c>
      <c r="L181" t="s">
        <v>1513</v>
      </c>
      <c r="M181" s="3">
        <v>468.4</v>
      </c>
      <c r="N181">
        <v>3</v>
      </c>
      <c r="O181" s="3">
        <v>0.2</v>
      </c>
      <c r="P181" s="3">
        <v>-19.510000000000002</v>
      </c>
      <c r="Q181" s="3">
        <f>Table1_1[[#This Row],[Sales]]/Table1_1[[#This Row],[Quantity]]</f>
        <v>156.13333333333333</v>
      </c>
    </row>
    <row r="182" spans="1:17" x14ac:dyDescent="0.3">
      <c r="A182" t="s">
        <v>195</v>
      </c>
      <c r="B182" s="2">
        <f t="shared" si="4"/>
        <v>44697</v>
      </c>
      <c r="C182" t="s">
        <v>1816</v>
      </c>
      <c r="D182" s="2">
        <v>44699</v>
      </c>
      <c r="E182" t="s">
        <v>1366</v>
      </c>
      <c r="F182" t="s">
        <v>1374</v>
      </c>
      <c r="G182" t="s">
        <v>1379</v>
      </c>
      <c r="H182" t="s">
        <v>1383</v>
      </c>
      <c r="I182" t="s">
        <v>1391</v>
      </c>
      <c r="J182" t="s">
        <v>1392</v>
      </c>
      <c r="K182" t="s">
        <v>1397</v>
      </c>
      <c r="L182" t="s">
        <v>1406</v>
      </c>
      <c r="M182" s="3">
        <v>549.64</v>
      </c>
      <c r="N182">
        <v>9</v>
      </c>
      <c r="O182" s="3">
        <v>0</v>
      </c>
      <c r="P182" s="3">
        <v>2.21</v>
      </c>
      <c r="Q182" s="3">
        <f>Table1_1[[#This Row],[Sales]]/Table1_1[[#This Row],[Quantity]]</f>
        <v>61.071111111111108</v>
      </c>
    </row>
    <row r="183" spans="1:17" x14ac:dyDescent="0.3">
      <c r="A183" t="s">
        <v>196</v>
      </c>
      <c r="B183" s="2">
        <f t="shared" si="4"/>
        <v>44574</v>
      </c>
      <c r="C183" t="s">
        <v>1817</v>
      </c>
      <c r="D183" s="2">
        <v>44579</v>
      </c>
      <c r="E183" t="s">
        <v>1367</v>
      </c>
      <c r="F183" t="s">
        <v>1375</v>
      </c>
      <c r="G183" t="s">
        <v>1379</v>
      </c>
      <c r="H183" t="s">
        <v>1384</v>
      </c>
      <c r="I183" t="s">
        <v>1391</v>
      </c>
      <c r="J183" t="s">
        <v>1394</v>
      </c>
      <c r="K183" t="s">
        <v>1403</v>
      </c>
      <c r="L183" t="s">
        <v>1543</v>
      </c>
      <c r="M183" s="3">
        <v>939.42</v>
      </c>
      <c r="N183">
        <v>9</v>
      </c>
      <c r="O183" s="3">
        <v>0.1</v>
      </c>
      <c r="P183" s="3">
        <v>80.77</v>
      </c>
      <c r="Q183" s="3">
        <f>Table1_1[[#This Row],[Sales]]/Table1_1[[#This Row],[Quantity]]</f>
        <v>104.38</v>
      </c>
    </row>
    <row r="184" spans="1:17" x14ac:dyDescent="0.3">
      <c r="A184" t="s">
        <v>197</v>
      </c>
      <c r="B184" s="2">
        <f t="shared" si="4"/>
        <v>44711</v>
      </c>
      <c r="C184" t="s">
        <v>693</v>
      </c>
      <c r="D184" s="2">
        <v>44713</v>
      </c>
      <c r="E184" t="s">
        <v>1371</v>
      </c>
      <c r="F184" t="s">
        <v>1374</v>
      </c>
      <c r="G184" t="s">
        <v>1704</v>
      </c>
      <c r="H184" t="s">
        <v>1383</v>
      </c>
      <c r="I184" t="s">
        <v>1390</v>
      </c>
      <c r="J184" t="s">
        <v>1392</v>
      </c>
      <c r="K184" t="s">
        <v>1397</v>
      </c>
      <c r="L184" t="s">
        <v>1544</v>
      </c>
      <c r="M184" s="3">
        <v>345.64</v>
      </c>
      <c r="N184">
        <v>5</v>
      </c>
      <c r="O184" s="3">
        <v>0.2</v>
      </c>
      <c r="P184" s="3">
        <v>66.13</v>
      </c>
      <c r="Q184" s="3">
        <f>Table1_1[[#This Row],[Sales]]/Table1_1[[#This Row],[Quantity]]</f>
        <v>69.128</v>
      </c>
    </row>
    <row r="185" spans="1:17" x14ac:dyDescent="0.3">
      <c r="A185" t="s">
        <v>198</v>
      </c>
      <c r="B185" s="2">
        <f t="shared" si="4"/>
        <v>44671</v>
      </c>
      <c r="C185" t="s">
        <v>694</v>
      </c>
      <c r="D185" s="2">
        <v>44674</v>
      </c>
      <c r="E185" t="s">
        <v>1373</v>
      </c>
      <c r="F185" t="s">
        <v>1376</v>
      </c>
      <c r="G185" t="s">
        <v>1704</v>
      </c>
      <c r="H185" t="s">
        <v>1384</v>
      </c>
      <c r="I185" t="s">
        <v>1391</v>
      </c>
      <c r="J185" t="s">
        <v>1394</v>
      </c>
      <c r="K185" t="s">
        <v>1402</v>
      </c>
      <c r="L185" t="s">
        <v>1545</v>
      </c>
      <c r="M185" s="3">
        <v>1139.6099999999999</v>
      </c>
      <c r="N185">
        <v>6</v>
      </c>
      <c r="O185" s="3">
        <v>0</v>
      </c>
      <c r="P185" s="3">
        <v>-11.46</v>
      </c>
      <c r="Q185" s="3">
        <f>Table1_1[[#This Row],[Sales]]/Table1_1[[#This Row],[Quantity]]</f>
        <v>189.93499999999997</v>
      </c>
    </row>
    <row r="186" spans="1:17" hidden="1" x14ac:dyDescent="0.3">
      <c r="A186" t="s">
        <v>199</v>
      </c>
      <c r="B186" s="2" t="e">
        <f t="shared" si="4"/>
        <v>#VALUE!</v>
      </c>
      <c r="C186" t="s">
        <v>1818</v>
      </c>
      <c r="D186" s="2">
        <v>45277</v>
      </c>
      <c r="E186" t="s">
        <v>1365</v>
      </c>
      <c r="F186" t="s">
        <v>1375</v>
      </c>
      <c r="G186" t="s">
        <v>1379</v>
      </c>
      <c r="H186" t="s">
        <v>1385</v>
      </c>
      <c r="I186" t="s">
        <v>1391</v>
      </c>
      <c r="J186" t="s">
        <v>1394</v>
      </c>
      <c r="K186" t="s">
        <v>1403</v>
      </c>
      <c r="L186" t="s">
        <v>1546</v>
      </c>
      <c r="M186" s="3">
        <v>229.61</v>
      </c>
      <c r="N186">
        <v>7</v>
      </c>
      <c r="O186" s="3">
        <v>0.15</v>
      </c>
      <c r="P186" s="3">
        <v>-12.46</v>
      </c>
      <c r="Q186" s="3">
        <f>Table1_1[[#This Row],[Sales]]/Table1_1[[#This Row],[Quantity]]</f>
        <v>32.801428571428573</v>
      </c>
    </row>
    <row r="187" spans="1:17" x14ac:dyDescent="0.3">
      <c r="A187" t="s">
        <v>200</v>
      </c>
      <c r="B187" s="2">
        <f t="shared" si="4"/>
        <v>45170</v>
      </c>
      <c r="C187" t="s">
        <v>1819</v>
      </c>
      <c r="D187" s="2">
        <v>44937</v>
      </c>
      <c r="E187" t="s">
        <v>1361</v>
      </c>
      <c r="F187" t="s">
        <v>1376</v>
      </c>
      <c r="G187" t="s">
        <v>1704</v>
      </c>
      <c r="H187" t="s">
        <v>1385</v>
      </c>
      <c r="I187" t="s">
        <v>1391</v>
      </c>
      <c r="J187" t="s">
        <v>1393</v>
      </c>
      <c r="K187" t="s">
        <v>1400</v>
      </c>
      <c r="L187" t="s">
        <v>1547</v>
      </c>
      <c r="M187" s="3">
        <v>718.83</v>
      </c>
      <c r="N187">
        <v>9</v>
      </c>
      <c r="O187" s="3">
        <v>0.1</v>
      </c>
      <c r="P187" s="3">
        <v>101.25</v>
      </c>
      <c r="Q187" s="3">
        <f>Table1_1[[#This Row],[Sales]]/Table1_1[[#This Row],[Quantity]]</f>
        <v>79.87</v>
      </c>
    </row>
    <row r="188" spans="1:17" x14ac:dyDescent="0.3">
      <c r="A188" t="s">
        <v>201</v>
      </c>
      <c r="B188" s="2">
        <f t="shared" si="4"/>
        <v>44632</v>
      </c>
      <c r="C188" t="s">
        <v>1820</v>
      </c>
      <c r="D188" s="2">
        <v>44639</v>
      </c>
      <c r="E188" t="s">
        <v>1373</v>
      </c>
      <c r="F188" t="s">
        <v>1375</v>
      </c>
      <c r="G188" t="s">
        <v>1704</v>
      </c>
      <c r="H188" t="s">
        <v>1383</v>
      </c>
      <c r="I188" t="s">
        <v>1389</v>
      </c>
      <c r="J188" t="s">
        <v>1393</v>
      </c>
      <c r="K188" t="s">
        <v>1399</v>
      </c>
      <c r="L188" t="s">
        <v>1548</v>
      </c>
      <c r="M188" s="3">
        <v>184.23</v>
      </c>
      <c r="N188">
        <v>5</v>
      </c>
      <c r="O188" s="3">
        <v>0.1</v>
      </c>
      <c r="P188" s="3">
        <v>-13.57</v>
      </c>
      <c r="Q188" s="3">
        <f>Table1_1[[#This Row],[Sales]]/Table1_1[[#This Row],[Quantity]]</f>
        <v>36.845999999999997</v>
      </c>
    </row>
    <row r="189" spans="1:17" hidden="1" x14ac:dyDescent="0.3">
      <c r="A189" t="s">
        <v>202</v>
      </c>
      <c r="B189" s="2" t="e">
        <f t="shared" si="4"/>
        <v>#VALUE!</v>
      </c>
      <c r="C189" t="s">
        <v>1821</v>
      </c>
      <c r="D189" s="2">
        <v>44981</v>
      </c>
      <c r="E189" t="s">
        <v>1364</v>
      </c>
      <c r="F189" t="s">
        <v>1375</v>
      </c>
      <c r="G189" t="s">
        <v>1379</v>
      </c>
      <c r="H189" t="s">
        <v>1386</v>
      </c>
      <c r="I189" t="s">
        <v>1390</v>
      </c>
      <c r="J189" t="s">
        <v>1393</v>
      </c>
      <c r="K189" t="s">
        <v>1396</v>
      </c>
      <c r="L189" t="s">
        <v>1549</v>
      </c>
      <c r="M189" s="3">
        <v>513.59</v>
      </c>
      <c r="N189">
        <v>1</v>
      </c>
      <c r="O189" s="3">
        <v>0.15</v>
      </c>
      <c r="P189" s="3">
        <v>77.459999999999994</v>
      </c>
      <c r="Q189" s="3">
        <f>Table1_1[[#This Row],[Sales]]/Table1_1[[#This Row],[Quantity]]</f>
        <v>513.59</v>
      </c>
    </row>
    <row r="190" spans="1:17" x14ac:dyDescent="0.3">
      <c r="A190" t="s">
        <v>203</v>
      </c>
      <c r="B190" s="2">
        <f t="shared" si="4"/>
        <v>45242</v>
      </c>
      <c r="C190" t="s">
        <v>699</v>
      </c>
      <c r="D190" s="2">
        <v>45248</v>
      </c>
      <c r="E190" t="s">
        <v>1367</v>
      </c>
      <c r="F190" t="s">
        <v>1375</v>
      </c>
      <c r="G190" t="s">
        <v>1379</v>
      </c>
      <c r="H190" t="s">
        <v>1384</v>
      </c>
      <c r="I190" t="s">
        <v>1390</v>
      </c>
      <c r="J190" t="s">
        <v>1392</v>
      </c>
      <c r="K190" t="s">
        <v>1395</v>
      </c>
      <c r="L190" t="s">
        <v>1424</v>
      </c>
      <c r="M190" s="3">
        <v>742.96</v>
      </c>
      <c r="N190">
        <v>10</v>
      </c>
      <c r="O190" s="3">
        <v>0.2</v>
      </c>
      <c r="P190" s="3">
        <v>210.56</v>
      </c>
      <c r="Q190" s="3">
        <f>Table1_1[[#This Row],[Sales]]/Table1_1[[#This Row],[Quantity]]</f>
        <v>74.296000000000006</v>
      </c>
    </row>
    <row r="191" spans="1:17" x14ac:dyDescent="0.3">
      <c r="A191" t="s">
        <v>204</v>
      </c>
      <c r="B191" s="2">
        <f t="shared" si="4"/>
        <v>45326</v>
      </c>
      <c r="C191" t="s">
        <v>700</v>
      </c>
      <c r="D191" s="2">
        <v>45335</v>
      </c>
      <c r="E191" t="s">
        <v>1364</v>
      </c>
      <c r="F191" t="s">
        <v>1374</v>
      </c>
      <c r="G191" t="s">
        <v>1704</v>
      </c>
      <c r="H191" t="s">
        <v>1384</v>
      </c>
      <c r="I191" t="s">
        <v>1388</v>
      </c>
      <c r="J191" t="s">
        <v>1393</v>
      </c>
      <c r="K191" t="s">
        <v>1396</v>
      </c>
      <c r="L191" t="s">
        <v>1550</v>
      </c>
      <c r="M191" s="3">
        <v>831.44</v>
      </c>
      <c r="N191">
        <v>4</v>
      </c>
      <c r="O191" s="3">
        <v>0.2</v>
      </c>
      <c r="P191" s="3">
        <v>-10.76</v>
      </c>
      <c r="Q191" s="3">
        <f>Table1_1[[#This Row],[Sales]]/Table1_1[[#This Row],[Quantity]]</f>
        <v>207.86</v>
      </c>
    </row>
    <row r="192" spans="1:17" x14ac:dyDescent="0.3">
      <c r="A192" t="s">
        <v>205</v>
      </c>
      <c r="B192" s="2">
        <f t="shared" si="4"/>
        <v>44669</v>
      </c>
      <c r="C192" t="s">
        <v>701</v>
      </c>
      <c r="D192" s="2">
        <v>44674</v>
      </c>
      <c r="E192" t="s">
        <v>1370</v>
      </c>
      <c r="F192" t="s">
        <v>1376</v>
      </c>
      <c r="G192" t="s">
        <v>1379</v>
      </c>
      <c r="H192" t="s">
        <v>1385</v>
      </c>
      <c r="I192" t="s">
        <v>1388</v>
      </c>
      <c r="J192" t="s">
        <v>1394</v>
      </c>
      <c r="K192" t="s">
        <v>1402</v>
      </c>
      <c r="L192" t="s">
        <v>1551</v>
      </c>
      <c r="M192" s="3">
        <v>156.96</v>
      </c>
      <c r="N192">
        <v>3</v>
      </c>
      <c r="O192" s="3">
        <v>0.15</v>
      </c>
      <c r="P192" s="3">
        <v>-6.91</v>
      </c>
      <c r="Q192" s="3">
        <f>Table1_1[[#This Row],[Sales]]/Table1_1[[#This Row],[Quantity]]</f>
        <v>52.32</v>
      </c>
    </row>
    <row r="193" spans="1:17" x14ac:dyDescent="0.3">
      <c r="A193" t="s">
        <v>206</v>
      </c>
      <c r="B193" s="2">
        <f t="shared" si="4"/>
        <v>45566</v>
      </c>
      <c r="C193" t="s">
        <v>1822</v>
      </c>
      <c r="D193" s="2">
        <v>45309</v>
      </c>
      <c r="E193" t="s">
        <v>1361</v>
      </c>
      <c r="F193" t="s">
        <v>1375</v>
      </c>
      <c r="G193" t="s">
        <v>1704</v>
      </c>
      <c r="H193" t="s">
        <v>1383</v>
      </c>
      <c r="I193" t="s">
        <v>1390</v>
      </c>
      <c r="J193" t="s">
        <v>1394</v>
      </c>
      <c r="K193" t="s">
        <v>1402</v>
      </c>
      <c r="L193" t="s">
        <v>1552</v>
      </c>
      <c r="M193" s="3">
        <v>374.31</v>
      </c>
      <c r="N193">
        <v>2</v>
      </c>
      <c r="O193" s="3">
        <v>0</v>
      </c>
      <c r="P193" s="3">
        <v>84.07</v>
      </c>
      <c r="Q193" s="3">
        <f>Table1_1[[#This Row],[Sales]]/Table1_1[[#This Row],[Quantity]]</f>
        <v>187.155</v>
      </c>
    </row>
    <row r="194" spans="1:17" x14ac:dyDescent="0.3">
      <c r="A194" t="s">
        <v>207</v>
      </c>
      <c r="B194" s="2">
        <f t="shared" ref="B194:B201" si="5">DATEVALUE(C194)</f>
        <v>44725</v>
      </c>
      <c r="C194" t="s">
        <v>1823</v>
      </c>
      <c r="D194" s="2">
        <v>44731</v>
      </c>
      <c r="E194" t="s">
        <v>1373</v>
      </c>
      <c r="F194" t="s">
        <v>1375</v>
      </c>
      <c r="G194" t="s">
        <v>1704</v>
      </c>
      <c r="H194" t="s">
        <v>1385</v>
      </c>
      <c r="I194" t="s">
        <v>1389</v>
      </c>
      <c r="J194" t="s">
        <v>1393</v>
      </c>
      <c r="K194" t="s">
        <v>1399</v>
      </c>
      <c r="L194" t="s">
        <v>1474</v>
      </c>
      <c r="M194" s="3">
        <v>1150.99</v>
      </c>
      <c r="N194">
        <v>4</v>
      </c>
      <c r="O194" s="3">
        <v>0.2</v>
      </c>
      <c r="P194" s="3">
        <v>132.22999999999999</v>
      </c>
      <c r="Q194" s="3">
        <f>Table1_1[[#This Row],[Sales]]/Table1_1[[#This Row],[Quantity]]</f>
        <v>287.7475</v>
      </c>
    </row>
    <row r="195" spans="1:17" x14ac:dyDescent="0.3">
      <c r="A195" t="s">
        <v>208</v>
      </c>
      <c r="B195" s="2">
        <f t="shared" si="5"/>
        <v>44682</v>
      </c>
      <c r="C195" t="s">
        <v>1824</v>
      </c>
      <c r="D195" s="2">
        <v>44570</v>
      </c>
      <c r="E195" t="s">
        <v>1368</v>
      </c>
      <c r="F195" t="s">
        <v>1376</v>
      </c>
      <c r="G195" t="s">
        <v>1704</v>
      </c>
      <c r="H195" t="s">
        <v>1385</v>
      </c>
      <c r="I195" t="s">
        <v>1388</v>
      </c>
      <c r="J195" t="s">
        <v>1392</v>
      </c>
      <c r="K195" t="s">
        <v>1397</v>
      </c>
      <c r="L195" t="s">
        <v>1442</v>
      </c>
      <c r="M195" s="3">
        <v>907.74</v>
      </c>
      <c r="N195">
        <v>2</v>
      </c>
      <c r="O195" s="3">
        <v>0</v>
      </c>
      <c r="P195" s="3">
        <v>-135.37</v>
      </c>
      <c r="Q195" s="3">
        <f>Table1_1[[#This Row],[Sales]]/Table1_1[[#This Row],[Quantity]]</f>
        <v>453.87</v>
      </c>
    </row>
    <row r="196" spans="1:17" x14ac:dyDescent="0.3">
      <c r="A196" t="s">
        <v>209</v>
      </c>
      <c r="B196" s="2">
        <f t="shared" si="5"/>
        <v>45248</v>
      </c>
      <c r="C196" t="s">
        <v>1825</v>
      </c>
      <c r="D196" s="2">
        <v>45256</v>
      </c>
      <c r="E196" t="s">
        <v>1372</v>
      </c>
      <c r="F196" t="s">
        <v>1376</v>
      </c>
      <c r="G196" t="s">
        <v>1704</v>
      </c>
      <c r="H196" t="s">
        <v>1386</v>
      </c>
      <c r="I196" t="s">
        <v>1391</v>
      </c>
      <c r="J196" t="s">
        <v>1393</v>
      </c>
      <c r="K196" t="s">
        <v>1396</v>
      </c>
      <c r="L196" t="s">
        <v>1454</v>
      </c>
      <c r="M196" s="3">
        <v>389.82</v>
      </c>
      <c r="N196">
        <v>7</v>
      </c>
      <c r="O196" s="3">
        <v>0</v>
      </c>
      <c r="P196" s="3">
        <v>-1.45</v>
      </c>
      <c r="Q196" s="3">
        <f>Table1_1[[#This Row],[Sales]]/Table1_1[[#This Row],[Quantity]]</f>
        <v>55.688571428571429</v>
      </c>
    </row>
    <row r="197" spans="1:17" x14ac:dyDescent="0.3">
      <c r="A197" t="s">
        <v>210</v>
      </c>
      <c r="B197" s="2">
        <f t="shared" si="5"/>
        <v>45166</v>
      </c>
      <c r="C197" t="s">
        <v>706</v>
      </c>
      <c r="D197" s="2">
        <v>45168</v>
      </c>
      <c r="E197" t="s">
        <v>1370</v>
      </c>
      <c r="F197" t="s">
        <v>1376</v>
      </c>
      <c r="G197" t="s">
        <v>1704</v>
      </c>
      <c r="H197" t="s">
        <v>1383</v>
      </c>
      <c r="I197" t="s">
        <v>1390</v>
      </c>
      <c r="J197" t="s">
        <v>1393</v>
      </c>
      <c r="K197" t="s">
        <v>1400</v>
      </c>
      <c r="L197" t="s">
        <v>1553</v>
      </c>
      <c r="M197" s="3">
        <v>389.56</v>
      </c>
      <c r="N197">
        <v>4</v>
      </c>
      <c r="O197" s="3">
        <v>0.15</v>
      </c>
      <c r="P197" s="3">
        <v>-55.13</v>
      </c>
      <c r="Q197" s="3">
        <f>Table1_1[[#This Row],[Sales]]/Table1_1[[#This Row],[Quantity]]</f>
        <v>97.39</v>
      </c>
    </row>
    <row r="198" spans="1:17" x14ac:dyDescent="0.3">
      <c r="A198" t="s">
        <v>211</v>
      </c>
      <c r="B198" s="2">
        <f t="shared" si="5"/>
        <v>44954</v>
      </c>
      <c r="C198" t="s">
        <v>707</v>
      </c>
      <c r="D198" s="2">
        <v>44961</v>
      </c>
      <c r="E198" t="s">
        <v>1363</v>
      </c>
      <c r="F198" t="s">
        <v>1376</v>
      </c>
      <c r="G198" t="s">
        <v>1704</v>
      </c>
      <c r="H198" t="s">
        <v>1383</v>
      </c>
      <c r="I198" t="s">
        <v>1388</v>
      </c>
      <c r="J198" t="s">
        <v>1392</v>
      </c>
      <c r="K198" t="s">
        <v>1397</v>
      </c>
      <c r="L198" t="s">
        <v>1521</v>
      </c>
      <c r="M198" s="3">
        <v>769.89</v>
      </c>
      <c r="N198">
        <v>3</v>
      </c>
      <c r="O198" s="3">
        <v>0</v>
      </c>
      <c r="P198" s="3">
        <v>-89.74</v>
      </c>
      <c r="Q198" s="3">
        <f>Table1_1[[#This Row],[Sales]]/Table1_1[[#This Row],[Quantity]]</f>
        <v>256.63</v>
      </c>
    </row>
    <row r="199" spans="1:17" x14ac:dyDescent="0.3">
      <c r="A199" t="s">
        <v>212</v>
      </c>
      <c r="B199" s="2">
        <f t="shared" si="5"/>
        <v>44571</v>
      </c>
      <c r="C199" t="s">
        <v>708</v>
      </c>
      <c r="D199" s="2">
        <v>44579</v>
      </c>
      <c r="E199" t="s">
        <v>1373</v>
      </c>
      <c r="F199" t="s">
        <v>1374</v>
      </c>
      <c r="G199" t="s">
        <v>1704</v>
      </c>
      <c r="H199" t="s">
        <v>1385</v>
      </c>
      <c r="I199" t="s">
        <v>1390</v>
      </c>
      <c r="J199" t="s">
        <v>1392</v>
      </c>
      <c r="K199" t="s">
        <v>1401</v>
      </c>
      <c r="L199" t="s">
        <v>1554</v>
      </c>
      <c r="M199" s="3">
        <v>981.95</v>
      </c>
      <c r="N199">
        <v>9</v>
      </c>
      <c r="O199" s="3">
        <v>0</v>
      </c>
      <c r="P199" s="3">
        <v>124.25</v>
      </c>
      <c r="Q199" s="3">
        <f>Table1_1[[#This Row],[Sales]]/Table1_1[[#This Row],[Quantity]]</f>
        <v>109.10555555555555</v>
      </c>
    </row>
    <row r="200" spans="1:17" x14ac:dyDescent="0.3">
      <c r="A200" t="s">
        <v>213</v>
      </c>
      <c r="B200" s="2">
        <f t="shared" si="5"/>
        <v>45140</v>
      </c>
      <c r="C200" t="s">
        <v>709</v>
      </c>
      <c r="D200" s="2">
        <v>45141</v>
      </c>
      <c r="E200" t="s">
        <v>1364</v>
      </c>
      <c r="F200" t="s">
        <v>1376</v>
      </c>
      <c r="G200" t="s">
        <v>1379</v>
      </c>
      <c r="H200" t="s">
        <v>1383</v>
      </c>
      <c r="I200" t="s">
        <v>1388</v>
      </c>
      <c r="J200" t="s">
        <v>1392</v>
      </c>
      <c r="K200" t="s">
        <v>1397</v>
      </c>
      <c r="L200" t="s">
        <v>1555</v>
      </c>
      <c r="M200" s="3">
        <v>58.58</v>
      </c>
      <c r="N200">
        <v>4</v>
      </c>
      <c r="O200" s="3">
        <v>0</v>
      </c>
      <c r="P200" s="3">
        <v>-3.26</v>
      </c>
      <c r="Q200" s="3">
        <f>Table1_1[[#This Row],[Sales]]/Table1_1[[#This Row],[Quantity]]</f>
        <v>14.645</v>
      </c>
    </row>
    <row r="201" spans="1:17" x14ac:dyDescent="0.3">
      <c r="A201" t="s">
        <v>214</v>
      </c>
      <c r="B201" s="2">
        <f t="shared" si="5"/>
        <v>45355</v>
      </c>
      <c r="C201" t="s">
        <v>710</v>
      </c>
      <c r="D201" s="2">
        <v>45364</v>
      </c>
      <c r="E201" t="s">
        <v>1361</v>
      </c>
      <c r="F201" t="s">
        <v>1374</v>
      </c>
      <c r="G201" t="s">
        <v>1704</v>
      </c>
      <c r="H201" t="s">
        <v>1384</v>
      </c>
      <c r="I201" t="s">
        <v>1388</v>
      </c>
      <c r="J201" t="s">
        <v>1394</v>
      </c>
      <c r="K201" t="s">
        <v>1398</v>
      </c>
      <c r="L201" t="s">
        <v>1556</v>
      </c>
      <c r="M201" s="3">
        <v>990.68</v>
      </c>
      <c r="N201">
        <v>1</v>
      </c>
      <c r="O201" s="3">
        <v>0.2</v>
      </c>
      <c r="P201" s="3">
        <v>72.489999999999995</v>
      </c>
      <c r="Q201" s="3">
        <f>Table1_1[[#This Row],[Sales]]/Table1_1[[#This Row],[Quantity]]</f>
        <v>990.68</v>
      </c>
    </row>
    <row r="202" spans="1:17" hidden="1" x14ac:dyDescent="0.3">
      <c r="A202" t="s">
        <v>215</v>
      </c>
      <c r="B202" s="2" t="e">
        <f t="shared" ref="B202:B257" si="6">DATEVALUE(C202)</f>
        <v>#VALUE!</v>
      </c>
      <c r="C202" t="s">
        <v>1826</v>
      </c>
      <c r="D202" s="2">
        <v>44837</v>
      </c>
      <c r="E202" t="s">
        <v>1364</v>
      </c>
      <c r="F202" t="s">
        <v>1376</v>
      </c>
      <c r="G202" t="s">
        <v>1704</v>
      </c>
      <c r="H202" t="s">
        <v>1387</v>
      </c>
      <c r="I202" t="s">
        <v>1390</v>
      </c>
      <c r="J202" t="s">
        <v>1392</v>
      </c>
      <c r="K202" t="s">
        <v>1397</v>
      </c>
      <c r="L202" t="s">
        <v>1409</v>
      </c>
      <c r="M202" s="3">
        <v>1041.04</v>
      </c>
      <c r="N202">
        <v>2</v>
      </c>
      <c r="O202" s="3">
        <v>0.1</v>
      </c>
      <c r="P202" s="3">
        <v>-98.96</v>
      </c>
      <c r="Q202" s="3">
        <f>Table1_1[[#This Row],[Sales]]/Table1_1[[#This Row],[Quantity]]</f>
        <v>520.52</v>
      </c>
    </row>
    <row r="203" spans="1:17" x14ac:dyDescent="0.3">
      <c r="A203" t="s">
        <v>216</v>
      </c>
      <c r="B203" s="2">
        <f t="shared" si="6"/>
        <v>45395</v>
      </c>
      <c r="C203" t="s">
        <v>712</v>
      </c>
      <c r="D203" s="2">
        <v>45399</v>
      </c>
      <c r="E203" t="s">
        <v>1372</v>
      </c>
      <c r="F203" t="s">
        <v>1374</v>
      </c>
      <c r="G203" t="s">
        <v>1379</v>
      </c>
      <c r="H203" t="s">
        <v>1386</v>
      </c>
      <c r="I203" t="s">
        <v>1388</v>
      </c>
      <c r="J203" t="s">
        <v>1392</v>
      </c>
      <c r="K203" t="s">
        <v>1395</v>
      </c>
      <c r="L203" t="s">
        <v>1495</v>
      </c>
      <c r="M203" s="3">
        <v>433.96</v>
      </c>
      <c r="N203">
        <v>5</v>
      </c>
      <c r="O203" s="3">
        <v>0</v>
      </c>
      <c r="P203" s="3">
        <v>30.11</v>
      </c>
      <c r="Q203" s="3">
        <f>Table1_1[[#This Row],[Sales]]/Table1_1[[#This Row],[Quantity]]</f>
        <v>86.792000000000002</v>
      </c>
    </row>
    <row r="204" spans="1:17" x14ac:dyDescent="0.3">
      <c r="A204" t="s">
        <v>217</v>
      </c>
      <c r="B204" s="2">
        <f t="shared" si="6"/>
        <v>45506</v>
      </c>
      <c r="C204" t="s">
        <v>1827</v>
      </c>
      <c r="D204" s="2">
        <v>45337</v>
      </c>
      <c r="E204" t="s">
        <v>1371</v>
      </c>
      <c r="F204" t="s">
        <v>1374</v>
      </c>
      <c r="G204" t="s">
        <v>1704</v>
      </c>
      <c r="H204" t="s">
        <v>1385</v>
      </c>
      <c r="I204" t="s">
        <v>1390</v>
      </c>
      <c r="J204" t="s">
        <v>1392</v>
      </c>
      <c r="K204" t="s">
        <v>1397</v>
      </c>
      <c r="L204" t="s">
        <v>1557</v>
      </c>
      <c r="M204" s="3">
        <v>1043.1199999999999</v>
      </c>
      <c r="N204">
        <v>3</v>
      </c>
      <c r="O204" s="3">
        <v>0.1</v>
      </c>
      <c r="P204" s="3">
        <v>-78.400000000000006</v>
      </c>
      <c r="Q204" s="3">
        <f>Table1_1[[#This Row],[Sales]]/Table1_1[[#This Row],[Quantity]]</f>
        <v>347.70666666666665</v>
      </c>
    </row>
    <row r="205" spans="1:17" x14ac:dyDescent="0.3">
      <c r="A205" t="s">
        <v>218</v>
      </c>
      <c r="B205" s="2">
        <f t="shared" si="6"/>
        <v>45209</v>
      </c>
      <c r="C205" t="s">
        <v>1828</v>
      </c>
      <c r="D205" s="2">
        <v>45214</v>
      </c>
      <c r="E205" t="s">
        <v>1362</v>
      </c>
      <c r="F205" t="s">
        <v>1376</v>
      </c>
      <c r="G205" t="s">
        <v>1704</v>
      </c>
      <c r="H205" t="s">
        <v>1385</v>
      </c>
      <c r="I205" t="s">
        <v>1391</v>
      </c>
      <c r="J205" t="s">
        <v>1393</v>
      </c>
      <c r="K205" t="s">
        <v>1399</v>
      </c>
      <c r="L205" t="s">
        <v>1548</v>
      </c>
      <c r="M205" s="3">
        <v>462.7</v>
      </c>
      <c r="N205">
        <v>2</v>
      </c>
      <c r="O205" s="3">
        <v>0</v>
      </c>
      <c r="P205" s="3">
        <v>0.66</v>
      </c>
      <c r="Q205" s="3">
        <f>Table1_1[[#This Row],[Sales]]/Table1_1[[#This Row],[Quantity]]</f>
        <v>231.35</v>
      </c>
    </row>
    <row r="206" spans="1:17" x14ac:dyDescent="0.3">
      <c r="A206" t="s">
        <v>219</v>
      </c>
      <c r="B206" s="2">
        <f t="shared" si="6"/>
        <v>44564</v>
      </c>
      <c r="C206" t="s">
        <v>715</v>
      </c>
      <c r="D206" s="2">
        <v>44566</v>
      </c>
      <c r="E206" t="s">
        <v>1368</v>
      </c>
      <c r="F206" t="s">
        <v>1375</v>
      </c>
      <c r="G206" t="s">
        <v>1704</v>
      </c>
      <c r="H206" t="s">
        <v>1384</v>
      </c>
      <c r="I206" t="s">
        <v>1391</v>
      </c>
      <c r="J206" t="s">
        <v>1393</v>
      </c>
      <c r="K206" t="s">
        <v>1399</v>
      </c>
      <c r="L206" t="s">
        <v>1558</v>
      </c>
      <c r="M206" s="3">
        <v>769.11</v>
      </c>
      <c r="N206">
        <v>6</v>
      </c>
      <c r="O206" s="3">
        <v>0</v>
      </c>
      <c r="P206" s="3">
        <v>152.16</v>
      </c>
      <c r="Q206" s="3">
        <f>Table1_1[[#This Row],[Sales]]/Table1_1[[#This Row],[Quantity]]</f>
        <v>128.185</v>
      </c>
    </row>
    <row r="207" spans="1:17" x14ac:dyDescent="0.3">
      <c r="A207" t="s">
        <v>220</v>
      </c>
      <c r="B207" s="2">
        <f t="shared" si="6"/>
        <v>44907</v>
      </c>
      <c r="C207" t="s">
        <v>1829</v>
      </c>
      <c r="D207" s="2">
        <v>44916</v>
      </c>
      <c r="E207" t="s">
        <v>1369</v>
      </c>
      <c r="F207" t="s">
        <v>1374</v>
      </c>
      <c r="G207" t="s">
        <v>1704</v>
      </c>
      <c r="H207" t="s">
        <v>1381</v>
      </c>
      <c r="I207" t="s">
        <v>1388</v>
      </c>
      <c r="J207" t="s">
        <v>1393</v>
      </c>
      <c r="K207" t="s">
        <v>1400</v>
      </c>
      <c r="L207" t="s">
        <v>1559</v>
      </c>
      <c r="M207" s="3">
        <v>688.05</v>
      </c>
      <c r="N207">
        <v>8</v>
      </c>
      <c r="O207" s="3">
        <v>0.15</v>
      </c>
      <c r="P207" s="3">
        <v>170</v>
      </c>
      <c r="Q207" s="3">
        <f>Table1_1[[#This Row],[Sales]]/Table1_1[[#This Row],[Quantity]]</f>
        <v>86.006249999999994</v>
      </c>
    </row>
    <row r="208" spans="1:17" x14ac:dyDescent="0.3">
      <c r="A208" t="s">
        <v>221</v>
      </c>
      <c r="B208" s="2">
        <f t="shared" si="6"/>
        <v>45013</v>
      </c>
      <c r="C208" t="s">
        <v>717</v>
      </c>
      <c r="D208" s="2">
        <v>45021</v>
      </c>
      <c r="E208" t="s">
        <v>1361</v>
      </c>
      <c r="F208" t="s">
        <v>1376</v>
      </c>
      <c r="G208" t="s">
        <v>1379</v>
      </c>
      <c r="H208" t="s">
        <v>1381</v>
      </c>
      <c r="I208" t="s">
        <v>1391</v>
      </c>
      <c r="J208" t="s">
        <v>1392</v>
      </c>
      <c r="K208" t="s">
        <v>1397</v>
      </c>
      <c r="L208" t="s">
        <v>1560</v>
      </c>
      <c r="M208" s="3">
        <v>258.74</v>
      </c>
      <c r="N208">
        <v>3</v>
      </c>
      <c r="O208" s="3">
        <v>0.15</v>
      </c>
      <c r="P208" s="3">
        <v>-31.18</v>
      </c>
      <c r="Q208" s="3">
        <f>Table1_1[[#This Row],[Sales]]/Table1_1[[#This Row],[Quantity]]</f>
        <v>86.24666666666667</v>
      </c>
    </row>
    <row r="209" spans="1:17" hidden="1" x14ac:dyDescent="0.3">
      <c r="A209" t="s">
        <v>222</v>
      </c>
      <c r="B209" s="2" t="e">
        <f t="shared" si="6"/>
        <v>#VALUE!</v>
      </c>
      <c r="C209" t="s">
        <v>1830</v>
      </c>
      <c r="D209" s="2">
        <v>45229</v>
      </c>
      <c r="E209" t="s">
        <v>1369</v>
      </c>
      <c r="F209" t="s">
        <v>1375</v>
      </c>
      <c r="G209" t="s">
        <v>1704</v>
      </c>
      <c r="H209" t="s">
        <v>1381</v>
      </c>
      <c r="I209" t="s">
        <v>1390</v>
      </c>
      <c r="J209" t="s">
        <v>1392</v>
      </c>
      <c r="K209" t="s">
        <v>1397</v>
      </c>
      <c r="L209" t="s">
        <v>1561</v>
      </c>
      <c r="M209" s="3">
        <v>758.21</v>
      </c>
      <c r="N209">
        <v>4</v>
      </c>
      <c r="O209" s="3">
        <v>0.2</v>
      </c>
      <c r="P209" s="3">
        <v>96.86</v>
      </c>
      <c r="Q209" s="3">
        <f>Table1_1[[#This Row],[Sales]]/Table1_1[[#This Row],[Quantity]]</f>
        <v>189.55250000000001</v>
      </c>
    </row>
    <row r="210" spans="1:17" x14ac:dyDescent="0.3">
      <c r="A210" t="s">
        <v>223</v>
      </c>
      <c r="B210" s="2">
        <f t="shared" si="6"/>
        <v>44793</v>
      </c>
      <c r="C210" t="s">
        <v>719</v>
      </c>
      <c r="D210" s="2">
        <v>44802</v>
      </c>
      <c r="E210" t="s">
        <v>1368</v>
      </c>
      <c r="F210" t="s">
        <v>1375</v>
      </c>
      <c r="G210" t="s">
        <v>1704</v>
      </c>
      <c r="H210" t="s">
        <v>1385</v>
      </c>
      <c r="I210" t="s">
        <v>1388</v>
      </c>
      <c r="J210" t="s">
        <v>1393</v>
      </c>
      <c r="K210" t="s">
        <v>1399</v>
      </c>
      <c r="L210" t="s">
        <v>1517</v>
      </c>
      <c r="M210" s="3">
        <v>30.96</v>
      </c>
      <c r="N210">
        <v>6</v>
      </c>
      <c r="O210" s="3">
        <v>0</v>
      </c>
      <c r="P210" s="3">
        <v>9.1</v>
      </c>
      <c r="Q210" s="3">
        <f>Table1_1[[#This Row],[Sales]]/Table1_1[[#This Row],[Quantity]]</f>
        <v>5.16</v>
      </c>
    </row>
    <row r="211" spans="1:17" x14ac:dyDescent="0.3">
      <c r="A211" t="s">
        <v>224</v>
      </c>
      <c r="B211" s="2">
        <f t="shared" si="6"/>
        <v>45387</v>
      </c>
      <c r="C211" t="s">
        <v>1725</v>
      </c>
      <c r="D211" s="2">
        <v>45389</v>
      </c>
      <c r="E211" t="s">
        <v>1363</v>
      </c>
      <c r="F211" t="s">
        <v>1374</v>
      </c>
      <c r="G211" t="s">
        <v>1379</v>
      </c>
      <c r="H211" t="s">
        <v>1383</v>
      </c>
      <c r="I211" t="s">
        <v>1390</v>
      </c>
      <c r="J211" t="s">
        <v>1392</v>
      </c>
      <c r="K211" t="s">
        <v>1397</v>
      </c>
      <c r="L211" t="s">
        <v>1562</v>
      </c>
      <c r="M211" s="3">
        <v>453.72</v>
      </c>
      <c r="N211">
        <v>5</v>
      </c>
      <c r="O211" s="3">
        <v>0.1</v>
      </c>
      <c r="P211" s="3">
        <v>-3.92</v>
      </c>
      <c r="Q211" s="3">
        <f>Table1_1[[#This Row],[Sales]]/Table1_1[[#This Row],[Quantity]]</f>
        <v>90.744</v>
      </c>
    </row>
    <row r="212" spans="1:17" x14ac:dyDescent="0.3">
      <c r="A212" t="s">
        <v>225</v>
      </c>
      <c r="B212" s="2">
        <f t="shared" si="6"/>
        <v>44921</v>
      </c>
      <c r="C212" t="s">
        <v>1831</v>
      </c>
      <c r="D212" s="2">
        <v>44925</v>
      </c>
      <c r="E212" t="s">
        <v>1369</v>
      </c>
      <c r="F212" t="s">
        <v>1375</v>
      </c>
      <c r="G212" t="s">
        <v>1379</v>
      </c>
      <c r="H212" t="s">
        <v>1383</v>
      </c>
      <c r="I212" t="s">
        <v>1389</v>
      </c>
      <c r="J212" t="s">
        <v>1393</v>
      </c>
      <c r="K212" t="s">
        <v>1396</v>
      </c>
      <c r="L212" t="s">
        <v>1563</v>
      </c>
      <c r="M212" s="3">
        <v>198.62</v>
      </c>
      <c r="N212">
        <v>7</v>
      </c>
      <c r="O212" s="3">
        <v>0</v>
      </c>
      <c r="P212" s="3">
        <v>28.46</v>
      </c>
      <c r="Q212" s="3">
        <f>Table1_1[[#This Row],[Sales]]/Table1_1[[#This Row],[Quantity]]</f>
        <v>28.374285714285715</v>
      </c>
    </row>
    <row r="213" spans="1:17" hidden="1" x14ac:dyDescent="0.3">
      <c r="A213" t="s">
        <v>226</v>
      </c>
      <c r="B213" s="2" t="e">
        <f t="shared" si="6"/>
        <v>#VALUE!</v>
      </c>
      <c r="C213" t="s">
        <v>1832</v>
      </c>
      <c r="D213" s="2">
        <v>45007</v>
      </c>
      <c r="E213" t="s">
        <v>1360</v>
      </c>
      <c r="F213" t="s">
        <v>1374</v>
      </c>
      <c r="G213" t="s">
        <v>1379</v>
      </c>
      <c r="H213" t="s">
        <v>1386</v>
      </c>
      <c r="I213" t="s">
        <v>1391</v>
      </c>
      <c r="J213" t="s">
        <v>1392</v>
      </c>
      <c r="K213" t="s">
        <v>1401</v>
      </c>
      <c r="L213" t="s">
        <v>1439</v>
      </c>
      <c r="M213" s="3">
        <v>346.82</v>
      </c>
      <c r="N213">
        <v>2</v>
      </c>
      <c r="O213" s="3">
        <v>0.1</v>
      </c>
      <c r="P213" s="3">
        <v>26.6</v>
      </c>
      <c r="Q213" s="3">
        <f>Table1_1[[#This Row],[Sales]]/Table1_1[[#This Row],[Quantity]]</f>
        <v>173.41</v>
      </c>
    </row>
    <row r="214" spans="1:17" x14ac:dyDescent="0.3">
      <c r="A214" t="s">
        <v>227</v>
      </c>
      <c r="B214" s="2">
        <f t="shared" si="6"/>
        <v>45092</v>
      </c>
      <c r="C214" t="s">
        <v>1742</v>
      </c>
      <c r="D214" s="2">
        <v>45102</v>
      </c>
      <c r="E214" t="s">
        <v>1373</v>
      </c>
      <c r="F214" t="s">
        <v>1375</v>
      </c>
      <c r="G214" t="s">
        <v>1704</v>
      </c>
      <c r="H214" t="s">
        <v>1385</v>
      </c>
      <c r="I214" t="s">
        <v>1388</v>
      </c>
      <c r="J214" t="s">
        <v>1393</v>
      </c>
      <c r="K214" t="s">
        <v>1400</v>
      </c>
      <c r="L214" t="s">
        <v>1564</v>
      </c>
      <c r="M214" s="3">
        <v>902.46</v>
      </c>
      <c r="N214">
        <v>5</v>
      </c>
      <c r="O214" s="3">
        <v>0</v>
      </c>
      <c r="P214" s="3">
        <v>173.18</v>
      </c>
      <c r="Q214" s="3">
        <f>Table1_1[[#This Row],[Sales]]/Table1_1[[#This Row],[Quantity]]</f>
        <v>180.49200000000002</v>
      </c>
    </row>
    <row r="215" spans="1:17" hidden="1" x14ac:dyDescent="0.3">
      <c r="A215" t="s">
        <v>228</v>
      </c>
      <c r="B215" s="2" t="e">
        <f t="shared" si="6"/>
        <v>#VALUE!</v>
      </c>
      <c r="C215" t="s">
        <v>1833</v>
      </c>
      <c r="D215" s="2">
        <v>44580</v>
      </c>
      <c r="E215" t="s">
        <v>1368</v>
      </c>
      <c r="F215" t="s">
        <v>1375</v>
      </c>
      <c r="G215" t="s">
        <v>1379</v>
      </c>
      <c r="H215" t="s">
        <v>1383</v>
      </c>
      <c r="I215" t="s">
        <v>1388</v>
      </c>
      <c r="J215" t="s">
        <v>1394</v>
      </c>
      <c r="K215" t="s">
        <v>1402</v>
      </c>
      <c r="L215" t="s">
        <v>1500</v>
      </c>
      <c r="M215" s="3">
        <v>476.47</v>
      </c>
      <c r="N215">
        <v>10</v>
      </c>
      <c r="O215" s="3">
        <v>0.2</v>
      </c>
      <c r="P215" s="3">
        <v>-8.24</v>
      </c>
      <c r="Q215" s="3">
        <f>Table1_1[[#This Row],[Sales]]/Table1_1[[#This Row],[Quantity]]</f>
        <v>47.647000000000006</v>
      </c>
    </row>
    <row r="216" spans="1:17" hidden="1" x14ac:dyDescent="0.3">
      <c r="A216" t="s">
        <v>229</v>
      </c>
      <c r="B216" s="2" t="e">
        <f t="shared" si="6"/>
        <v>#VALUE!</v>
      </c>
      <c r="C216" t="s">
        <v>1834</v>
      </c>
      <c r="D216" s="2">
        <v>44834</v>
      </c>
      <c r="E216" t="s">
        <v>1360</v>
      </c>
      <c r="F216" t="s">
        <v>1376</v>
      </c>
      <c r="G216" t="s">
        <v>1704</v>
      </c>
      <c r="H216" t="s">
        <v>1381</v>
      </c>
      <c r="I216" t="s">
        <v>1390</v>
      </c>
      <c r="J216" t="s">
        <v>1392</v>
      </c>
      <c r="K216" t="s">
        <v>1401</v>
      </c>
      <c r="L216" t="s">
        <v>1565</v>
      </c>
      <c r="M216" s="3">
        <v>1139.44</v>
      </c>
      <c r="N216">
        <v>7</v>
      </c>
      <c r="O216" s="3">
        <v>0</v>
      </c>
      <c r="P216" s="3">
        <v>-64.67</v>
      </c>
      <c r="Q216" s="3">
        <f>Table1_1[[#This Row],[Sales]]/Table1_1[[#This Row],[Quantity]]</f>
        <v>162.77714285714288</v>
      </c>
    </row>
    <row r="217" spans="1:17" hidden="1" x14ac:dyDescent="0.3">
      <c r="A217" t="s">
        <v>230</v>
      </c>
      <c r="B217" s="2" t="e">
        <f t="shared" si="6"/>
        <v>#VALUE!</v>
      </c>
      <c r="C217" t="s">
        <v>1835</v>
      </c>
      <c r="D217" s="2">
        <v>44652</v>
      </c>
      <c r="E217" t="s">
        <v>1366</v>
      </c>
      <c r="F217" t="s">
        <v>1374</v>
      </c>
      <c r="G217" t="s">
        <v>1704</v>
      </c>
      <c r="H217" t="s">
        <v>1382</v>
      </c>
      <c r="I217" t="s">
        <v>1390</v>
      </c>
      <c r="J217" t="s">
        <v>1392</v>
      </c>
      <c r="K217" t="s">
        <v>1395</v>
      </c>
      <c r="L217" t="s">
        <v>1566</v>
      </c>
      <c r="M217" s="3">
        <v>1106.69</v>
      </c>
      <c r="N217">
        <v>3</v>
      </c>
      <c r="O217" s="3">
        <v>0</v>
      </c>
      <c r="P217" s="3">
        <v>-40.53</v>
      </c>
      <c r="Q217" s="3">
        <f>Table1_1[[#This Row],[Sales]]/Table1_1[[#This Row],[Quantity]]</f>
        <v>368.8966666666667</v>
      </c>
    </row>
    <row r="218" spans="1:17" x14ac:dyDescent="0.3">
      <c r="A218" t="s">
        <v>231</v>
      </c>
      <c r="B218" s="2">
        <f t="shared" si="6"/>
        <v>44782</v>
      </c>
      <c r="C218" t="s">
        <v>1836</v>
      </c>
      <c r="D218" s="2">
        <v>44814</v>
      </c>
      <c r="E218" t="s">
        <v>1363</v>
      </c>
      <c r="F218" t="s">
        <v>1375</v>
      </c>
      <c r="G218" t="s">
        <v>1704</v>
      </c>
      <c r="H218" t="s">
        <v>1382</v>
      </c>
      <c r="I218" t="s">
        <v>1388</v>
      </c>
      <c r="J218" t="s">
        <v>1394</v>
      </c>
      <c r="K218" t="s">
        <v>1402</v>
      </c>
      <c r="L218" t="s">
        <v>1567</v>
      </c>
      <c r="M218" s="3">
        <v>554.98</v>
      </c>
      <c r="N218">
        <v>10</v>
      </c>
      <c r="O218" s="3">
        <v>0</v>
      </c>
      <c r="P218" s="3">
        <v>-25.17</v>
      </c>
      <c r="Q218" s="3">
        <f>Table1_1[[#This Row],[Sales]]/Table1_1[[#This Row],[Quantity]]</f>
        <v>55.498000000000005</v>
      </c>
    </row>
    <row r="219" spans="1:17" hidden="1" x14ac:dyDescent="0.3">
      <c r="A219" t="s">
        <v>232</v>
      </c>
      <c r="B219" s="2" t="e">
        <f t="shared" si="6"/>
        <v>#VALUE!</v>
      </c>
      <c r="C219" t="s">
        <v>1837</v>
      </c>
      <c r="D219" s="2">
        <v>45076</v>
      </c>
      <c r="E219" t="s">
        <v>1362</v>
      </c>
      <c r="F219" t="s">
        <v>1375</v>
      </c>
      <c r="G219" t="s">
        <v>1379</v>
      </c>
      <c r="H219" t="s">
        <v>1384</v>
      </c>
      <c r="I219" t="s">
        <v>1389</v>
      </c>
      <c r="J219" t="s">
        <v>1393</v>
      </c>
      <c r="K219" t="s">
        <v>1396</v>
      </c>
      <c r="L219" t="s">
        <v>1539</v>
      </c>
      <c r="M219" s="3">
        <v>943.92</v>
      </c>
      <c r="N219">
        <v>5</v>
      </c>
      <c r="O219" s="3">
        <v>0.1</v>
      </c>
      <c r="P219" s="3">
        <v>-13.28</v>
      </c>
      <c r="Q219" s="3">
        <f>Table1_1[[#This Row],[Sales]]/Table1_1[[#This Row],[Quantity]]</f>
        <v>188.78399999999999</v>
      </c>
    </row>
    <row r="220" spans="1:17" x14ac:dyDescent="0.3">
      <c r="A220" t="s">
        <v>233</v>
      </c>
      <c r="B220" s="2">
        <f t="shared" si="6"/>
        <v>45098</v>
      </c>
      <c r="C220" t="s">
        <v>727</v>
      </c>
      <c r="D220" s="2">
        <v>45100</v>
      </c>
      <c r="E220" t="s">
        <v>1366</v>
      </c>
      <c r="F220" t="s">
        <v>1374</v>
      </c>
      <c r="G220" t="s">
        <v>1704</v>
      </c>
      <c r="H220" t="s">
        <v>1384</v>
      </c>
      <c r="I220" t="s">
        <v>1390</v>
      </c>
      <c r="J220" t="s">
        <v>1394</v>
      </c>
      <c r="K220" t="s">
        <v>1398</v>
      </c>
      <c r="L220" t="s">
        <v>1568</v>
      </c>
      <c r="M220" s="3">
        <v>1170.56</v>
      </c>
      <c r="N220">
        <v>2</v>
      </c>
      <c r="O220" s="3">
        <v>0.2</v>
      </c>
      <c r="P220" s="3">
        <v>32.31</v>
      </c>
      <c r="Q220" s="3">
        <f>Table1_1[[#This Row],[Sales]]/Table1_1[[#This Row],[Quantity]]</f>
        <v>585.28</v>
      </c>
    </row>
    <row r="221" spans="1:17" x14ac:dyDescent="0.3">
      <c r="A221" t="s">
        <v>234</v>
      </c>
      <c r="B221" s="2">
        <f t="shared" si="6"/>
        <v>45353</v>
      </c>
      <c r="C221" t="s">
        <v>1813</v>
      </c>
      <c r="D221" s="2">
        <v>45355</v>
      </c>
      <c r="E221" t="s">
        <v>1363</v>
      </c>
      <c r="F221" t="s">
        <v>1376</v>
      </c>
      <c r="G221" t="s">
        <v>1379</v>
      </c>
      <c r="H221" t="s">
        <v>1385</v>
      </c>
      <c r="I221" t="s">
        <v>1390</v>
      </c>
      <c r="J221" t="s">
        <v>1393</v>
      </c>
      <c r="K221" t="s">
        <v>1396</v>
      </c>
      <c r="L221" t="s">
        <v>1569</v>
      </c>
      <c r="M221" s="3">
        <v>872.88</v>
      </c>
      <c r="N221">
        <v>4</v>
      </c>
      <c r="O221" s="3">
        <v>0</v>
      </c>
      <c r="P221" s="3">
        <v>-173.46</v>
      </c>
      <c r="Q221" s="3">
        <f>Table1_1[[#This Row],[Sales]]/Table1_1[[#This Row],[Quantity]]</f>
        <v>218.22</v>
      </c>
    </row>
    <row r="222" spans="1:17" x14ac:dyDescent="0.3">
      <c r="A222" t="s">
        <v>235</v>
      </c>
      <c r="B222" s="2">
        <f t="shared" si="6"/>
        <v>45440</v>
      </c>
      <c r="C222" t="s">
        <v>728</v>
      </c>
      <c r="D222" s="2">
        <v>45441</v>
      </c>
      <c r="E222" t="s">
        <v>1372</v>
      </c>
      <c r="F222" t="s">
        <v>1375</v>
      </c>
      <c r="G222" t="s">
        <v>1379</v>
      </c>
      <c r="H222" t="s">
        <v>1381</v>
      </c>
      <c r="I222" t="s">
        <v>1388</v>
      </c>
      <c r="J222" t="s">
        <v>1393</v>
      </c>
      <c r="K222" t="s">
        <v>1396</v>
      </c>
      <c r="L222" t="s">
        <v>1569</v>
      </c>
      <c r="M222" s="3">
        <v>893.99</v>
      </c>
      <c r="N222">
        <v>7</v>
      </c>
      <c r="O222" s="3">
        <v>0.1</v>
      </c>
      <c r="P222" s="3">
        <v>-34.950000000000003</v>
      </c>
      <c r="Q222" s="3">
        <f>Table1_1[[#This Row],[Sales]]/Table1_1[[#This Row],[Quantity]]</f>
        <v>127.71285714285715</v>
      </c>
    </row>
    <row r="223" spans="1:17" x14ac:dyDescent="0.3">
      <c r="A223" t="s">
        <v>236</v>
      </c>
      <c r="B223" s="2">
        <f t="shared" si="6"/>
        <v>44790</v>
      </c>
      <c r="C223" t="s">
        <v>729</v>
      </c>
      <c r="D223" s="2">
        <v>44799</v>
      </c>
      <c r="E223" t="s">
        <v>1371</v>
      </c>
      <c r="F223" t="s">
        <v>1374</v>
      </c>
      <c r="G223" t="s">
        <v>1704</v>
      </c>
      <c r="H223" t="s">
        <v>1381</v>
      </c>
      <c r="I223" t="s">
        <v>1391</v>
      </c>
      <c r="J223" t="s">
        <v>1392</v>
      </c>
      <c r="K223" t="s">
        <v>1397</v>
      </c>
      <c r="L223" t="s">
        <v>1570</v>
      </c>
      <c r="M223" s="3">
        <v>101.33</v>
      </c>
      <c r="N223">
        <v>8</v>
      </c>
      <c r="O223" s="3">
        <v>0.15</v>
      </c>
      <c r="P223" s="3">
        <v>18.920000000000002</v>
      </c>
      <c r="Q223" s="3">
        <f>Table1_1[[#This Row],[Sales]]/Table1_1[[#This Row],[Quantity]]</f>
        <v>12.66625</v>
      </c>
    </row>
    <row r="224" spans="1:17" x14ac:dyDescent="0.3">
      <c r="A224" t="s">
        <v>237</v>
      </c>
      <c r="B224" s="2">
        <f t="shared" si="6"/>
        <v>44860</v>
      </c>
      <c r="C224" t="s">
        <v>730</v>
      </c>
      <c r="D224" s="2">
        <v>44870</v>
      </c>
      <c r="E224" t="s">
        <v>1370</v>
      </c>
      <c r="F224" t="s">
        <v>1374</v>
      </c>
      <c r="G224" t="s">
        <v>1704</v>
      </c>
      <c r="H224" t="s">
        <v>1387</v>
      </c>
      <c r="I224" t="s">
        <v>1388</v>
      </c>
      <c r="J224" t="s">
        <v>1394</v>
      </c>
      <c r="K224" t="s">
        <v>1398</v>
      </c>
      <c r="L224" t="s">
        <v>1571</v>
      </c>
      <c r="M224" s="3">
        <v>754.81</v>
      </c>
      <c r="N224">
        <v>8</v>
      </c>
      <c r="O224" s="3">
        <v>0.15</v>
      </c>
      <c r="P224" s="3">
        <v>72.349999999999994</v>
      </c>
      <c r="Q224" s="3">
        <f>Table1_1[[#This Row],[Sales]]/Table1_1[[#This Row],[Quantity]]</f>
        <v>94.351249999999993</v>
      </c>
    </row>
    <row r="225" spans="1:17" hidden="1" x14ac:dyDescent="0.3">
      <c r="A225" t="s">
        <v>238</v>
      </c>
      <c r="B225" s="2" t="e">
        <f t="shared" si="6"/>
        <v>#VALUE!</v>
      </c>
      <c r="C225" t="s">
        <v>1838</v>
      </c>
      <c r="D225" s="2">
        <v>44590</v>
      </c>
      <c r="E225" t="s">
        <v>1365</v>
      </c>
      <c r="F225" t="s">
        <v>1374</v>
      </c>
      <c r="G225" t="s">
        <v>1379</v>
      </c>
      <c r="H225" t="s">
        <v>1381</v>
      </c>
      <c r="I225" t="s">
        <v>1390</v>
      </c>
      <c r="J225" t="s">
        <v>1393</v>
      </c>
      <c r="K225" t="s">
        <v>1399</v>
      </c>
      <c r="L225" t="s">
        <v>1411</v>
      </c>
      <c r="M225" s="3">
        <v>770.41</v>
      </c>
      <c r="N225">
        <v>1</v>
      </c>
      <c r="O225" s="3">
        <v>0.15</v>
      </c>
      <c r="P225" s="3">
        <v>-153.52000000000001</v>
      </c>
      <c r="Q225" s="3">
        <f>Table1_1[[#This Row],[Sales]]/Table1_1[[#This Row],[Quantity]]</f>
        <v>770.41</v>
      </c>
    </row>
    <row r="226" spans="1:17" x14ac:dyDescent="0.3">
      <c r="A226" t="s">
        <v>239</v>
      </c>
      <c r="B226" s="2">
        <f t="shared" si="6"/>
        <v>44805</v>
      </c>
      <c r="C226" t="s">
        <v>1839</v>
      </c>
      <c r="D226" s="2">
        <v>44812</v>
      </c>
      <c r="E226" t="s">
        <v>1360</v>
      </c>
      <c r="F226" t="s">
        <v>1374</v>
      </c>
      <c r="G226" t="s">
        <v>1379</v>
      </c>
      <c r="H226" t="s">
        <v>1385</v>
      </c>
      <c r="I226" t="s">
        <v>1388</v>
      </c>
      <c r="J226" t="s">
        <v>1394</v>
      </c>
      <c r="K226" t="s">
        <v>1402</v>
      </c>
      <c r="L226" t="s">
        <v>1476</v>
      </c>
      <c r="M226" s="3">
        <v>1167.6199999999999</v>
      </c>
      <c r="N226">
        <v>3</v>
      </c>
      <c r="O226" s="3">
        <v>0.15</v>
      </c>
      <c r="P226" s="3">
        <v>-179.21</v>
      </c>
      <c r="Q226" s="3">
        <f>Table1_1[[#This Row],[Sales]]/Table1_1[[#This Row],[Quantity]]</f>
        <v>389.20666666666665</v>
      </c>
    </row>
    <row r="227" spans="1:17" x14ac:dyDescent="0.3">
      <c r="A227" t="s">
        <v>240</v>
      </c>
      <c r="B227" s="2">
        <f t="shared" si="6"/>
        <v>44659</v>
      </c>
      <c r="C227" t="s">
        <v>733</v>
      </c>
      <c r="D227" s="2">
        <v>44668</v>
      </c>
      <c r="E227" t="s">
        <v>1363</v>
      </c>
      <c r="F227" t="s">
        <v>1376</v>
      </c>
      <c r="G227" t="s">
        <v>1379</v>
      </c>
      <c r="H227" t="s">
        <v>1386</v>
      </c>
      <c r="I227" t="s">
        <v>1391</v>
      </c>
      <c r="J227" t="s">
        <v>1392</v>
      </c>
      <c r="K227" t="s">
        <v>1395</v>
      </c>
      <c r="L227" t="s">
        <v>1572</v>
      </c>
      <c r="M227" s="3">
        <v>987.56</v>
      </c>
      <c r="N227">
        <v>2</v>
      </c>
      <c r="O227" s="3">
        <v>0</v>
      </c>
      <c r="P227" s="3">
        <v>82.87</v>
      </c>
      <c r="Q227" s="3">
        <f>Table1_1[[#This Row],[Sales]]/Table1_1[[#This Row],[Quantity]]</f>
        <v>493.78</v>
      </c>
    </row>
    <row r="228" spans="1:17" hidden="1" x14ac:dyDescent="0.3">
      <c r="A228" t="s">
        <v>241</v>
      </c>
      <c r="B228" s="2" t="e">
        <f t="shared" si="6"/>
        <v>#VALUE!</v>
      </c>
      <c r="C228" t="s">
        <v>1840</v>
      </c>
      <c r="D228" s="2">
        <v>45285</v>
      </c>
      <c r="E228" t="s">
        <v>1369</v>
      </c>
      <c r="F228" t="s">
        <v>1375</v>
      </c>
      <c r="G228" t="s">
        <v>1704</v>
      </c>
      <c r="H228" t="s">
        <v>1385</v>
      </c>
      <c r="I228" t="s">
        <v>1389</v>
      </c>
      <c r="J228" t="s">
        <v>1394</v>
      </c>
      <c r="K228" t="s">
        <v>1403</v>
      </c>
      <c r="L228" t="s">
        <v>1573</v>
      </c>
      <c r="M228" s="3">
        <v>340.91</v>
      </c>
      <c r="N228">
        <v>2</v>
      </c>
      <c r="O228" s="3">
        <v>0.1</v>
      </c>
      <c r="P228" s="3">
        <v>-44.98</v>
      </c>
      <c r="Q228" s="3">
        <f>Table1_1[[#This Row],[Sales]]/Table1_1[[#This Row],[Quantity]]</f>
        <v>170.45500000000001</v>
      </c>
    </row>
    <row r="229" spans="1:17" x14ac:dyDescent="0.3">
      <c r="A229" t="s">
        <v>242</v>
      </c>
      <c r="B229" s="2">
        <f t="shared" si="6"/>
        <v>44978</v>
      </c>
      <c r="C229" t="s">
        <v>735</v>
      </c>
      <c r="D229" s="2">
        <v>44980</v>
      </c>
      <c r="E229" t="s">
        <v>1369</v>
      </c>
      <c r="F229" t="s">
        <v>1375</v>
      </c>
      <c r="G229" t="s">
        <v>1379</v>
      </c>
      <c r="H229" t="s">
        <v>1386</v>
      </c>
      <c r="I229" t="s">
        <v>1388</v>
      </c>
      <c r="J229" t="s">
        <v>1393</v>
      </c>
      <c r="K229" t="s">
        <v>1399</v>
      </c>
      <c r="L229" t="s">
        <v>1574</v>
      </c>
      <c r="M229" s="3">
        <v>1158.27</v>
      </c>
      <c r="N229">
        <v>4</v>
      </c>
      <c r="O229" s="3">
        <v>0.2</v>
      </c>
      <c r="P229" s="3">
        <v>-53.1</v>
      </c>
      <c r="Q229" s="3">
        <f>Table1_1[[#This Row],[Sales]]/Table1_1[[#This Row],[Quantity]]</f>
        <v>289.5675</v>
      </c>
    </row>
    <row r="230" spans="1:17" x14ac:dyDescent="0.3">
      <c r="A230" t="s">
        <v>243</v>
      </c>
      <c r="B230" s="2">
        <f t="shared" si="6"/>
        <v>45417</v>
      </c>
      <c r="C230" t="s">
        <v>1841</v>
      </c>
      <c r="D230" s="2">
        <v>45423</v>
      </c>
      <c r="E230" t="s">
        <v>1372</v>
      </c>
      <c r="F230" t="s">
        <v>1375</v>
      </c>
      <c r="G230" t="s">
        <v>1379</v>
      </c>
      <c r="H230" t="s">
        <v>1385</v>
      </c>
      <c r="I230" t="s">
        <v>1389</v>
      </c>
      <c r="J230" t="s">
        <v>1392</v>
      </c>
      <c r="K230" t="s">
        <v>1401</v>
      </c>
      <c r="L230" t="s">
        <v>1427</v>
      </c>
      <c r="M230" s="3">
        <v>859.17</v>
      </c>
      <c r="N230">
        <v>6</v>
      </c>
      <c r="O230" s="3">
        <v>0.2</v>
      </c>
      <c r="P230" s="3">
        <v>48.74</v>
      </c>
      <c r="Q230" s="3">
        <f>Table1_1[[#This Row],[Sales]]/Table1_1[[#This Row],[Quantity]]</f>
        <v>143.19499999999999</v>
      </c>
    </row>
    <row r="231" spans="1:17" x14ac:dyDescent="0.3">
      <c r="A231" t="s">
        <v>244</v>
      </c>
      <c r="B231" s="2">
        <f t="shared" si="6"/>
        <v>45328</v>
      </c>
      <c r="C231" t="s">
        <v>1723</v>
      </c>
      <c r="D231" s="2">
        <v>45337</v>
      </c>
      <c r="E231" t="s">
        <v>1363</v>
      </c>
      <c r="F231" t="s">
        <v>1376</v>
      </c>
      <c r="G231" t="s">
        <v>1379</v>
      </c>
      <c r="H231" t="s">
        <v>1382</v>
      </c>
      <c r="I231" t="s">
        <v>1388</v>
      </c>
      <c r="J231" t="s">
        <v>1392</v>
      </c>
      <c r="K231" t="s">
        <v>1401</v>
      </c>
      <c r="L231" t="s">
        <v>1575</v>
      </c>
      <c r="M231" s="3">
        <v>565.21</v>
      </c>
      <c r="N231">
        <v>3</v>
      </c>
      <c r="O231" s="3">
        <v>0</v>
      </c>
      <c r="P231" s="3">
        <v>-109.66</v>
      </c>
      <c r="Q231" s="3">
        <f>Table1_1[[#This Row],[Sales]]/Table1_1[[#This Row],[Quantity]]</f>
        <v>188.40333333333334</v>
      </c>
    </row>
    <row r="232" spans="1:17" x14ac:dyDescent="0.3">
      <c r="A232" t="s">
        <v>245</v>
      </c>
      <c r="B232" s="2">
        <f t="shared" si="6"/>
        <v>45162</v>
      </c>
      <c r="C232" t="s">
        <v>1842</v>
      </c>
      <c r="D232" s="2">
        <v>45167</v>
      </c>
      <c r="E232" t="s">
        <v>1371</v>
      </c>
      <c r="F232" t="s">
        <v>1375</v>
      </c>
      <c r="G232" t="s">
        <v>1704</v>
      </c>
      <c r="H232" t="s">
        <v>1381</v>
      </c>
      <c r="I232" t="s">
        <v>1390</v>
      </c>
      <c r="J232" t="s">
        <v>1392</v>
      </c>
      <c r="K232" t="s">
        <v>1401</v>
      </c>
      <c r="L232" t="s">
        <v>1576</v>
      </c>
      <c r="M232" s="3">
        <v>1196.6500000000001</v>
      </c>
      <c r="N232">
        <v>4</v>
      </c>
      <c r="O232" s="3">
        <v>0.2</v>
      </c>
      <c r="P232" s="3">
        <v>244.89</v>
      </c>
      <c r="Q232" s="3">
        <f>Table1_1[[#This Row],[Sales]]/Table1_1[[#This Row],[Quantity]]</f>
        <v>299.16250000000002</v>
      </c>
    </row>
    <row r="233" spans="1:17" x14ac:dyDescent="0.3">
      <c r="A233" t="s">
        <v>246</v>
      </c>
      <c r="B233" s="2">
        <f t="shared" si="6"/>
        <v>45005</v>
      </c>
      <c r="C233" t="s">
        <v>1843</v>
      </c>
      <c r="D233" s="2">
        <v>45012</v>
      </c>
      <c r="E233" t="s">
        <v>1372</v>
      </c>
      <c r="F233" t="s">
        <v>1376</v>
      </c>
      <c r="G233" t="s">
        <v>1704</v>
      </c>
      <c r="H233" t="s">
        <v>1381</v>
      </c>
      <c r="I233" t="s">
        <v>1390</v>
      </c>
      <c r="J233" t="s">
        <v>1394</v>
      </c>
      <c r="K233" t="s">
        <v>1402</v>
      </c>
      <c r="L233" t="s">
        <v>1577</v>
      </c>
      <c r="M233" s="3">
        <v>471.62</v>
      </c>
      <c r="N233">
        <v>7</v>
      </c>
      <c r="O233" s="3">
        <v>0.1</v>
      </c>
      <c r="P233" s="3">
        <v>-10.86</v>
      </c>
      <c r="Q233" s="3">
        <f>Table1_1[[#This Row],[Sales]]/Table1_1[[#This Row],[Quantity]]</f>
        <v>67.374285714285719</v>
      </c>
    </row>
    <row r="234" spans="1:17" x14ac:dyDescent="0.3">
      <c r="A234" t="s">
        <v>247</v>
      </c>
      <c r="B234" s="2">
        <f t="shared" si="6"/>
        <v>44864</v>
      </c>
      <c r="C234" t="s">
        <v>739</v>
      </c>
      <c r="D234" s="2">
        <v>44872</v>
      </c>
      <c r="E234" t="s">
        <v>1370</v>
      </c>
      <c r="F234" t="s">
        <v>1374</v>
      </c>
      <c r="G234" t="s">
        <v>1704</v>
      </c>
      <c r="H234" t="s">
        <v>1382</v>
      </c>
      <c r="I234" t="s">
        <v>1388</v>
      </c>
      <c r="J234" t="s">
        <v>1394</v>
      </c>
      <c r="K234" t="s">
        <v>1398</v>
      </c>
      <c r="L234" t="s">
        <v>1578</v>
      </c>
      <c r="M234" s="3">
        <v>585.26</v>
      </c>
      <c r="N234">
        <v>2</v>
      </c>
      <c r="O234" s="3">
        <v>0.15</v>
      </c>
      <c r="P234" s="3">
        <v>-4.97</v>
      </c>
      <c r="Q234" s="3">
        <f>Table1_1[[#This Row],[Sales]]/Table1_1[[#This Row],[Quantity]]</f>
        <v>292.63</v>
      </c>
    </row>
    <row r="235" spans="1:17" x14ac:dyDescent="0.3">
      <c r="A235" t="s">
        <v>248</v>
      </c>
      <c r="B235" s="2">
        <f t="shared" si="6"/>
        <v>45362</v>
      </c>
      <c r="C235" t="s">
        <v>740</v>
      </c>
      <c r="D235" s="2">
        <v>45368</v>
      </c>
      <c r="E235" t="s">
        <v>1371</v>
      </c>
      <c r="F235" t="s">
        <v>1375</v>
      </c>
      <c r="G235" t="s">
        <v>1379</v>
      </c>
      <c r="H235" t="s">
        <v>1383</v>
      </c>
      <c r="I235" t="s">
        <v>1390</v>
      </c>
      <c r="J235" t="s">
        <v>1394</v>
      </c>
      <c r="K235" t="s">
        <v>1398</v>
      </c>
      <c r="L235" t="s">
        <v>1579</v>
      </c>
      <c r="M235" s="3">
        <v>942.09</v>
      </c>
      <c r="N235">
        <v>6</v>
      </c>
      <c r="O235" s="3">
        <v>0</v>
      </c>
      <c r="P235" s="3">
        <v>48.23</v>
      </c>
      <c r="Q235" s="3">
        <f>Table1_1[[#This Row],[Sales]]/Table1_1[[#This Row],[Quantity]]</f>
        <v>157.01500000000001</v>
      </c>
    </row>
    <row r="236" spans="1:17" x14ac:dyDescent="0.3">
      <c r="A236" t="s">
        <v>249</v>
      </c>
      <c r="B236" s="2">
        <f t="shared" si="6"/>
        <v>45392</v>
      </c>
      <c r="C236" t="s">
        <v>1844</v>
      </c>
      <c r="D236" s="2">
        <v>45397</v>
      </c>
      <c r="E236" t="s">
        <v>1370</v>
      </c>
      <c r="F236" t="s">
        <v>1375</v>
      </c>
      <c r="G236" t="s">
        <v>1379</v>
      </c>
      <c r="H236" t="s">
        <v>1383</v>
      </c>
      <c r="I236" t="s">
        <v>1388</v>
      </c>
      <c r="J236" t="s">
        <v>1392</v>
      </c>
      <c r="K236" t="s">
        <v>1397</v>
      </c>
      <c r="L236" t="s">
        <v>1460</v>
      </c>
      <c r="M236" s="3">
        <v>644.73</v>
      </c>
      <c r="N236">
        <v>10</v>
      </c>
      <c r="O236" s="3">
        <v>0.1</v>
      </c>
      <c r="P236" s="3">
        <v>185.03</v>
      </c>
      <c r="Q236" s="3">
        <f>Table1_1[[#This Row],[Sales]]/Table1_1[[#This Row],[Quantity]]</f>
        <v>64.472999999999999</v>
      </c>
    </row>
    <row r="237" spans="1:17" x14ac:dyDescent="0.3">
      <c r="A237" t="s">
        <v>250</v>
      </c>
      <c r="B237" s="2">
        <f t="shared" si="6"/>
        <v>44786</v>
      </c>
      <c r="C237" t="s">
        <v>554</v>
      </c>
      <c r="D237" s="2">
        <v>44796</v>
      </c>
      <c r="E237" t="s">
        <v>1362</v>
      </c>
      <c r="F237" t="s">
        <v>1375</v>
      </c>
      <c r="G237" t="s">
        <v>1379</v>
      </c>
      <c r="H237" t="s">
        <v>1383</v>
      </c>
      <c r="I237" t="s">
        <v>1390</v>
      </c>
      <c r="J237" t="s">
        <v>1394</v>
      </c>
      <c r="K237" t="s">
        <v>1403</v>
      </c>
      <c r="L237" t="s">
        <v>1580</v>
      </c>
      <c r="M237" s="3">
        <v>1123.54</v>
      </c>
      <c r="N237">
        <v>3</v>
      </c>
      <c r="O237" s="3">
        <v>0.1</v>
      </c>
      <c r="P237" s="3">
        <v>-91.82</v>
      </c>
      <c r="Q237" s="3">
        <f>Table1_1[[#This Row],[Sales]]/Table1_1[[#This Row],[Quantity]]</f>
        <v>374.51333333333332</v>
      </c>
    </row>
    <row r="238" spans="1:17" x14ac:dyDescent="0.3">
      <c r="A238" t="s">
        <v>251</v>
      </c>
      <c r="B238" s="2">
        <f t="shared" si="6"/>
        <v>44902</v>
      </c>
      <c r="C238" t="s">
        <v>1745</v>
      </c>
      <c r="D238" s="2">
        <v>44762</v>
      </c>
      <c r="E238" t="s">
        <v>1363</v>
      </c>
      <c r="F238" t="s">
        <v>1374</v>
      </c>
      <c r="G238" t="s">
        <v>1704</v>
      </c>
      <c r="H238" t="s">
        <v>1381</v>
      </c>
      <c r="I238" t="s">
        <v>1391</v>
      </c>
      <c r="J238" t="s">
        <v>1393</v>
      </c>
      <c r="K238" t="s">
        <v>1399</v>
      </c>
      <c r="L238" t="s">
        <v>1581</v>
      </c>
      <c r="M238" s="3">
        <v>227.16</v>
      </c>
      <c r="N238">
        <v>1</v>
      </c>
      <c r="O238" s="3">
        <v>0</v>
      </c>
      <c r="P238" s="3">
        <v>-39.049999999999997</v>
      </c>
      <c r="Q238" s="3">
        <f>Table1_1[[#This Row],[Sales]]/Table1_1[[#This Row],[Quantity]]</f>
        <v>227.16</v>
      </c>
    </row>
    <row r="239" spans="1:17" hidden="1" x14ac:dyDescent="0.3">
      <c r="A239" t="s">
        <v>252</v>
      </c>
      <c r="B239" s="2" t="e">
        <f t="shared" si="6"/>
        <v>#VALUE!</v>
      </c>
      <c r="C239" t="s">
        <v>1845</v>
      </c>
      <c r="D239" s="2">
        <v>44771</v>
      </c>
      <c r="E239" t="s">
        <v>1363</v>
      </c>
      <c r="F239" t="s">
        <v>1374</v>
      </c>
      <c r="G239" t="s">
        <v>1379</v>
      </c>
      <c r="H239" t="s">
        <v>1381</v>
      </c>
      <c r="I239" t="s">
        <v>1391</v>
      </c>
      <c r="J239" t="s">
        <v>1394</v>
      </c>
      <c r="K239" t="s">
        <v>1398</v>
      </c>
      <c r="L239" t="s">
        <v>1416</v>
      </c>
      <c r="M239" s="3">
        <v>229.4</v>
      </c>
      <c r="N239">
        <v>6</v>
      </c>
      <c r="O239" s="3">
        <v>0</v>
      </c>
      <c r="P239" s="3">
        <v>-43.37</v>
      </c>
      <c r="Q239" s="3">
        <f>Table1_1[[#This Row],[Sales]]/Table1_1[[#This Row],[Quantity]]</f>
        <v>38.233333333333334</v>
      </c>
    </row>
    <row r="240" spans="1:17" x14ac:dyDescent="0.3">
      <c r="A240" t="s">
        <v>253</v>
      </c>
      <c r="B240" s="2">
        <f t="shared" si="6"/>
        <v>45210</v>
      </c>
      <c r="C240" t="s">
        <v>1846</v>
      </c>
      <c r="D240" s="2">
        <v>45247</v>
      </c>
      <c r="E240" t="s">
        <v>1365</v>
      </c>
      <c r="F240" t="s">
        <v>1376</v>
      </c>
      <c r="G240" t="s">
        <v>1379</v>
      </c>
      <c r="H240" t="s">
        <v>1387</v>
      </c>
      <c r="I240" t="s">
        <v>1391</v>
      </c>
      <c r="J240" t="s">
        <v>1393</v>
      </c>
      <c r="K240" t="s">
        <v>1400</v>
      </c>
      <c r="L240" t="s">
        <v>1582</v>
      </c>
      <c r="M240" s="3">
        <v>417.14</v>
      </c>
      <c r="N240">
        <v>6</v>
      </c>
      <c r="O240" s="3">
        <v>0.1</v>
      </c>
      <c r="P240" s="3">
        <v>120.11</v>
      </c>
      <c r="Q240" s="3">
        <f>Table1_1[[#This Row],[Sales]]/Table1_1[[#This Row],[Quantity]]</f>
        <v>69.523333333333326</v>
      </c>
    </row>
    <row r="241" spans="1:17" x14ac:dyDescent="0.3">
      <c r="A241" t="s">
        <v>254</v>
      </c>
      <c r="B241" s="2">
        <f t="shared" si="6"/>
        <v>45243</v>
      </c>
      <c r="C241" t="s">
        <v>1847</v>
      </c>
      <c r="D241" s="2">
        <v>45253</v>
      </c>
      <c r="E241" t="s">
        <v>1360</v>
      </c>
      <c r="F241" t="s">
        <v>1374</v>
      </c>
      <c r="G241" t="s">
        <v>1379</v>
      </c>
      <c r="H241" t="s">
        <v>1387</v>
      </c>
      <c r="I241" t="s">
        <v>1391</v>
      </c>
      <c r="J241" t="s">
        <v>1392</v>
      </c>
      <c r="K241" t="s">
        <v>1397</v>
      </c>
      <c r="L241" t="s">
        <v>1583</v>
      </c>
      <c r="M241" s="3">
        <v>382.05</v>
      </c>
      <c r="N241">
        <v>5</v>
      </c>
      <c r="O241" s="3">
        <v>0.1</v>
      </c>
      <c r="P241" s="3">
        <v>-42.46</v>
      </c>
      <c r="Q241" s="3">
        <f>Table1_1[[#This Row],[Sales]]/Table1_1[[#This Row],[Quantity]]</f>
        <v>76.41</v>
      </c>
    </row>
    <row r="242" spans="1:17" x14ac:dyDescent="0.3">
      <c r="A242" t="s">
        <v>255</v>
      </c>
      <c r="B242" s="2">
        <f t="shared" si="6"/>
        <v>44788</v>
      </c>
      <c r="C242" t="s">
        <v>745</v>
      </c>
      <c r="D242" s="2">
        <v>44798</v>
      </c>
      <c r="E242" t="s">
        <v>1370</v>
      </c>
      <c r="F242" t="s">
        <v>1375</v>
      </c>
      <c r="G242" t="s">
        <v>1379</v>
      </c>
      <c r="H242" t="s">
        <v>1385</v>
      </c>
      <c r="I242" t="s">
        <v>1388</v>
      </c>
      <c r="J242" t="s">
        <v>1392</v>
      </c>
      <c r="K242" t="s">
        <v>1397</v>
      </c>
      <c r="L242" t="s">
        <v>1442</v>
      </c>
      <c r="M242" s="3">
        <v>185.96</v>
      </c>
      <c r="N242">
        <v>2</v>
      </c>
      <c r="O242" s="3">
        <v>0.1</v>
      </c>
      <c r="P242" s="3">
        <v>-4.95</v>
      </c>
      <c r="Q242" s="3">
        <f>Table1_1[[#This Row],[Sales]]/Table1_1[[#This Row],[Quantity]]</f>
        <v>92.98</v>
      </c>
    </row>
    <row r="243" spans="1:17" x14ac:dyDescent="0.3">
      <c r="A243" t="s">
        <v>256</v>
      </c>
      <c r="B243" s="2">
        <f t="shared" si="6"/>
        <v>44776</v>
      </c>
      <c r="C243" t="s">
        <v>746</v>
      </c>
      <c r="D243" s="2">
        <v>44780</v>
      </c>
      <c r="E243" t="s">
        <v>1367</v>
      </c>
      <c r="F243" t="s">
        <v>1376</v>
      </c>
      <c r="G243" t="s">
        <v>1704</v>
      </c>
      <c r="H243" t="s">
        <v>1385</v>
      </c>
      <c r="I243" t="s">
        <v>1391</v>
      </c>
      <c r="J243" t="s">
        <v>1393</v>
      </c>
      <c r="K243" t="s">
        <v>1400</v>
      </c>
      <c r="L243" t="s">
        <v>1413</v>
      </c>
      <c r="M243" s="3">
        <v>433.57</v>
      </c>
      <c r="N243">
        <v>2</v>
      </c>
      <c r="O243" s="3">
        <v>0</v>
      </c>
      <c r="P243" s="3">
        <v>-76.28</v>
      </c>
      <c r="Q243" s="3">
        <f>Table1_1[[#This Row],[Sales]]/Table1_1[[#This Row],[Quantity]]</f>
        <v>216.785</v>
      </c>
    </row>
    <row r="244" spans="1:17" x14ac:dyDescent="0.3">
      <c r="A244" t="s">
        <v>257</v>
      </c>
      <c r="B244" s="2">
        <f t="shared" si="6"/>
        <v>44946</v>
      </c>
      <c r="C244" t="s">
        <v>1848</v>
      </c>
      <c r="D244" s="2">
        <v>44948</v>
      </c>
      <c r="E244" t="s">
        <v>1371</v>
      </c>
      <c r="F244" t="s">
        <v>1376</v>
      </c>
      <c r="G244" t="s">
        <v>1379</v>
      </c>
      <c r="H244" t="s">
        <v>1381</v>
      </c>
      <c r="I244" t="s">
        <v>1388</v>
      </c>
      <c r="J244" t="s">
        <v>1394</v>
      </c>
      <c r="K244" t="s">
        <v>1398</v>
      </c>
      <c r="L244" t="s">
        <v>1584</v>
      </c>
      <c r="M244" s="3">
        <v>788.14</v>
      </c>
      <c r="N244">
        <v>4</v>
      </c>
      <c r="O244" s="3">
        <v>0.1</v>
      </c>
      <c r="P244" s="3">
        <v>20.21</v>
      </c>
      <c r="Q244" s="3">
        <f>Table1_1[[#This Row],[Sales]]/Table1_1[[#This Row],[Quantity]]</f>
        <v>197.035</v>
      </c>
    </row>
    <row r="245" spans="1:17" hidden="1" x14ac:dyDescent="0.3">
      <c r="A245" t="s">
        <v>258</v>
      </c>
      <c r="B245" s="2" t="e">
        <f t="shared" si="6"/>
        <v>#VALUE!</v>
      </c>
      <c r="C245" t="s">
        <v>1849</v>
      </c>
      <c r="D245" s="2">
        <v>44743</v>
      </c>
      <c r="E245" t="s">
        <v>1365</v>
      </c>
      <c r="F245" t="s">
        <v>1375</v>
      </c>
      <c r="G245" t="s">
        <v>1704</v>
      </c>
      <c r="H245" t="s">
        <v>1382</v>
      </c>
      <c r="I245" t="s">
        <v>1390</v>
      </c>
      <c r="J245" t="s">
        <v>1392</v>
      </c>
      <c r="K245" t="s">
        <v>1395</v>
      </c>
      <c r="L245" t="s">
        <v>1585</v>
      </c>
      <c r="M245" s="3">
        <v>108.5</v>
      </c>
      <c r="N245">
        <v>2</v>
      </c>
      <c r="O245" s="3">
        <v>0.15</v>
      </c>
      <c r="P245" s="3">
        <v>10.53</v>
      </c>
      <c r="Q245" s="3">
        <f>Table1_1[[#This Row],[Sales]]/Table1_1[[#This Row],[Quantity]]</f>
        <v>54.25</v>
      </c>
    </row>
    <row r="246" spans="1:17" hidden="1" x14ac:dyDescent="0.3">
      <c r="A246" t="s">
        <v>259</v>
      </c>
      <c r="B246" s="2" t="e">
        <f t="shared" si="6"/>
        <v>#VALUE!</v>
      </c>
      <c r="C246" t="s">
        <v>1850</v>
      </c>
      <c r="D246" s="2">
        <v>45009</v>
      </c>
      <c r="E246" t="s">
        <v>1360</v>
      </c>
      <c r="F246" t="s">
        <v>1374</v>
      </c>
      <c r="G246" t="s">
        <v>1379</v>
      </c>
      <c r="H246" t="s">
        <v>1384</v>
      </c>
      <c r="I246" t="s">
        <v>1390</v>
      </c>
      <c r="J246" t="s">
        <v>1392</v>
      </c>
      <c r="K246" t="s">
        <v>1401</v>
      </c>
      <c r="L246" t="s">
        <v>1586</v>
      </c>
      <c r="M246" s="3">
        <v>410.69</v>
      </c>
      <c r="N246">
        <v>4</v>
      </c>
      <c r="O246" s="3">
        <v>0.2</v>
      </c>
      <c r="P246" s="3">
        <v>61.03</v>
      </c>
      <c r="Q246" s="3">
        <f>Table1_1[[#This Row],[Sales]]/Table1_1[[#This Row],[Quantity]]</f>
        <v>102.6725</v>
      </c>
    </row>
    <row r="247" spans="1:17" x14ac:dyDescent="0.3">
      <c r="A247" t="s">
        <v>260</v>
      </c>
      <c r="B247" s="2">
        <f t="shared" si="6"/>
        <v>44612</v>
      </c>
      <c r="C247" t="s">
        <v>750</v>
      </c>
      <c r="D247" s="2">
        <v>44619</v>
      </c>
      <c r="E247" t="s">
        <v>1366</v>
      </c>
      <c r="F247" t="s">
        <v>1374</v>
      </c>
      <c r="G247" t="s">
        <v>1704</v>
      </c>
      <c r="H247" t="s">
        <v>1387</v>
      </c>
      <c r="I247" t="s">
        <v>1388</v>
      </c>
      <c r="J247" t="s">
        <v>1393</v>
      </c>
      <c r="K247" t="s">
        <v>1396</v>
      </c>
      <c r="L247" t="s">
        <v>1587</v>
      </c>
      <c r="M247" s="3">
        <v>1011.03</v>
      </c>
      <c r="N247">
        <v>3</v>
      </c>
      <c r="O247" s="3">
        <v>0</v>
      </c>
      <c r="P247" s="3">
        <v>-19.8</v>
      </c>
      <c r="Q247" s="3">
        <f>Table1_1[[#This Row],[Sales]]/Table1_1[[#This Row],[Quantity]]</f>
        <v>337.01</v>
      </c>
    </row>
    <row r="248" spans="1:17" x14ac:dyDescent="0.3">
      <c r="A248" t="s">
        <v>261</v>
      </c>
      <c r="B248" s="2">
        <f t="shared" si="6"/>
        <v>44773</v>
      </c>
      <c r="C248" t="s">
        <v>751</v>
      </c>
      <c r="D248" s="2">
        <v>44776</v>
      </c>
      <c r="E248" t="s">
        <v>1373</v>
      </c>
      <c r="F248" t="s">
        <v>1374</v>
      </c>
      <c r="G248" t="s">
        <v>1379</v>
      </c>
      <c r="H248" t="s">
        <v>1381</v>
      </c>
      <c r="I248" t="s">
        <v>1389</v>
      </c>
      <c r="J248" t="s">
        <v>1393</v>
      </c>
      <c r="K248" t="s">
        <v>1399</v>
      </c>
      <c r="L248" t="s">
        <v>1588</v>
      </c>
      <c r="M248" s="3">
        <v>1172.93</v>
      </c>
      <c r="N248">
        <v>8</v>
      </c>
      <c r="O248" s="3">
        <v>0</v>
      </c>
      <c r="P248" s="3">
        <v>-53.75</v>
      </c>
      <c r="Q248" s="3">
        <f>Table1_1[[#This Row],[Sales]]/Table1_1[[#This Row],[Quantity]]</f>
        <v>146.61625000000001</v>
      </c>
    </row>
    <row r="249" spans="1:17" x14ac:dyDescent="0.3">
      <c r="A249" t="s">
        <v>262</v>
      </c>
      <c r="B249" s="2">
        <f t="shared" si="6"/>
        <v>44941</v>
      </c>
      <c r="C249" t="s">
        <v>1851</v>
      </c>
      <c r="D249" s="2">
        <v>44948</v>
      </c>
      <c r="E249" t="s">
        <v>1362</v>
      </c>
      <c r="F249" t="s">
        <v>1375</v>
      </c>
      <c r="G249" t="s">
        <v>1704</v>
      </c>
      <c r="H249" t="s">
        <v>1386</v>
      </c>
      <c r="I249" t="s">
        <v>1388</v>
      </c>
      <c r="J249" t="s">
        <v>1394</v>
      </c>
      <c r="K249" t="s">
        <v>1402</v>
      </c>
      <c r="L249" t="s">
        <v>1505</v>
      </c>
      <c r="M249" s="3">
        <v>546.01</v>
      </c>
      <c r="N249">
        <v>5</v>
      </c>
      <c r="O249" s="3">
        <v>0.2</v>
      </c>
      <c r="P249" s="3">
        <v>17.760000000000002</v>
      </c>
      <c r="Q249" s="3">
        <f>Table1_1[[#This Row],[Sales]]/Table1_1[[#This Row],[Quantity]]</f>
        <v>109.202</v>
      </c>
    </row>
    <row r="250" spans="1:17" x14ac:dyDescent="0.3">
      <c r="A250" t="s">
        <v>263</v>
      </c>
      <c r="B250" s="2">
        <f t="shared" si="6"/>
        <v>45246</v>
      </c>
      <c r="C250" t="s">
        <v>753</v>
      </c>
      <c r="D250" s="2">
        <v>45252</v>
      </c>
      <c r="E250" t="s">
        <v>1360</v>
      </c>
      <c r="F250" t="s">
        <v>1374</v>
      </c>
      <c r="G250" t="s">
        <v>1704</v>
      </c>
      <c r="H250" t="s">
        <v>1383</v>
      </c>
      <c r="I250" t="s">
        <v>1390</v>
      </c>
      <c r="J250" t="s">
        <v>1393</v>
      </c>
      <c r="K250" t="s">
        <v>1399</v>
      </c>
      <c r="L250" t="s">
        <v>1516</v>
      </c>
      <c r="M250" s="3">
        <v>1165.43</v>
      </c>
      <c r="N250">
        <v>10</v>
      </c>
      <c r="O250" s="3">
        <v>0.1</v>
      </c>
      <c r="P250" s="3">
        <v>89.51</v>
      </c>
      <c r="Q250" s="3">
        <f>Table1_1[[#This Row],[Sales]]/Table1_1[[#This Row],[Quantity]]</f>
        <v>116.54300000000001</v>
      </c>
    </row>
    <row r="251" spans="1:17" x14ac:dyDescent="0.3">
      <c r="A251" t="s">
        <v>264</v>
      </c>
      <c r="B251" s="2">
        <f t="shared" si="6"/>
        <v>44631</v>
      </c>
      <c r="C251" t="s">
        <v>1852</v>
      </c>
      <c r="D251" s="2">
        <v>44870</v>
      </c>
      <c r="E251" t="s">
        <v>1359</v>
      </c>
      <c r="F251" t="s">
        <v>1375</v>
      </c>
      <c r="G251" t="s">
        <v>1704</v>
      </c>
      <c r="H251" t="s">
        <v>1387</v>
      </c>
      <c r="I251" t="s">
        <v>1390</v>
      </c>
      <c r="J251" t="s">
        <v>1394</v>
      </c>
      <c r="K251" t="s">
        <v>1398</v>
      </c>
      <c r="L251" t="s">
        <v>1589</v>
      </c>
      <c r="M251" s="3">
        <v>60.98</v>
      </c>
      <c r="N251">
        <v>10</v>
      </c>
      <c r="O251" s="3">
        <v>0</v>
      </c>
      <c r="P251" s="3">
        <v>12.21</v>
      </c>
      <c r="Q251" s="3">
        <f>Table1_1[[#This Row],[Sales]]/Table1_1[[#This Row],[Quantity]]</f>
        <v>6.0979999999999999</v>
      </c>
    </row>
    <row r="252" spans="1:17" x14ac:dyDescent="0.3">
      <c r="A252" t="s">
        <v>265</v>
      </c>
      <c r="B252" s="2">
        <f t="shared" si="6"/>
        <v>45477</v>
      </c>
      <c r="C252" t="s">
        <v>1853</v>
      </c>
      <c r="D252" s="2">
        <v>45393</v>
      </c>
      <c r="E252" t="s">
        <v>1370</v>
      </c>
      <c r="F252" t="s">
        <v>1376</v>
      </c>
      <c r="G252" t="s">
        <v>1379</v>
      </c>
      <c r="H252" t="s">
        <v>1382</v>
      </c>
      <c r="I252" t="s">
        <v>1388</v>
      </c>
      <c r="J252" t="s">
        <v>1392</v>
      </c>
      <c r="K252" t="s">
        <v>1401</v>
      </c>
      <c r="L252" t="s">
        <v>1554</v>
      </c>
      <c r="M252" s="3">
        <v>519.58000000000004</v>
      </c>
      <c r="N252">
        <v>7</v>
      </c>
      <c r="O252" s="3">
        <v>0.1</v>
      </c>
      <c r="P252" s="3">
        <v>155.16</v>
      </c>
      <c r="Q252" s="3">
        <f>Table1_1[[#This Row],[Sales]]/Table1_1[[#This Row],[Quantity]]</f>
        <v>74.22571428571429</v>
      </c>
    </row>
    <row r="253" spans="1:17" x14ac:dyDescent="0.3">
      <c r="A253" t="s">
        <v>266</v>
      </c>
      <c r="B253" s="2">
        <f t="shared" si="6"/>
        <v>44959</v>
      </c>
      <c r="C253" t="s">
        <v>1854</v>
      </c>
      <c r="D253" s="2">
        <v>44968</v>
      </c>
      <c r="E253" t="s">
        <v>1364</v>
      </c>
      <c r="F253" t="s">
        <v>1374</v>
      </c>
      <c r="G253" t="s">
        <v>1704</v>
      </c>
      <c r="H253" t="s">
        <v>1381</v>
      </c>
      <c r="I253" t="s">
        <v>1389</v>
      </c>
      <c r="J253" t="s">
        <v>1394</v>
      </c>
      <c r="K253" t="s">
        <v>1398</v>
      </c>
      <c r="L253" t="s">
        <v>1590</v>
      </c>
      <c r="M253" s="3">
        <v>404.83</v>
      </c>
      <c r="N253">
        <v>5</v>
      </c>
      <c r="O253" s="3">
        <v>0</v>
      </c>
      <c r="P253" s="3">
        <v>11.77</v>
      </c>
      <c r="Q253" s="3">
        <f>Table1_1[[#This Row],[Sales]]/Table1_1[[#This Row],[Quantity]]</f>
        <v>80.965999999999994</v>
      </c>
    </row>
    <row r="254" spans="1:17" x14ac:dyDescent="0.3">
      <c r="A254" t="s">
        <v>267</v>
      </c>
      <c r="B254" s="2">
        <f t="shared" si="6"/>
        <v>44713</v>
      </c>
      <c r="C254" t="s">
        <v>1855</v>
      </c>
      <c r="D254" s="2">
        <v>44723</v>
      </c>
      <c r="E254" t="s">
        <v>1362</v>
      </c>
      <c r="F254" t="s">
        <v>1376</v>
      </c>
      <c r="G254" t="s">
        <v>1704</v>
      </c>
      <c r="H254" t="s">
        <v>1384</v>
      </c>
      <c r="I254" t="s">
        <v>1389</v>
      </c>
      <c r="J254" t="s">
        <v>1393</v>
      </c>
      <c r="K254" t="s">
        <v>1396</v>
      </c>
      <c r="L254" t="s">
        <v>1591</v>
      </c>
      <c r="M254" s="3">
        <v>914.89</v>
      </c>
      <c r="N254">
        <v>2</v>
      </c>
      <c r="O254" s="3">
        <v>0</v>
      </c>
      <c r="P254" s="3">
        <v>74.42</v>
      </c>
      <c r="Q254" s="3">
        <f>Table1_1[[#This Row],[Sales]]/Table1_1[[#This Row],[Quantity]]</f>
        <v>457.44499999999999</v>
      </c>
    </row>
    <row r="255" spans="1:17" hidden="1" x14ac:dyDescent="0.3">
      <c r="A255" t="s">
        <v>268</v>
      </c>
      <c r="B255" s="2" t="e">
        <f t="shared" si="6"/>
        <v>#VALUE!</v>
      </c>
      <c r="C255" t="s">
        <v>1856</v>
      </c>
      <c r="D255" s="2">
        <v>45069</v>
      </c>
      <c r="E255" t="s">
        <v>1367</v>
      </c>
      <c r="F255" t="s">
        <v>1376</v>
      </c>
      <c r="G255" t="s">
        <v>1379</v>
      </c>
      <c r="H255" t="s">
        <v>1382</v>
      </c>
      <c r="I255" t="s">
        <v>1390</v>
      </c>
      <c r="J255" t="s">
        <v>1393</v>
      </c>
      <c r="K255" t="s">
        <v>1399</v>
      </c>
      <c r="L255" t="s">
        <v>1592</v>
      </c>
      <c r="M255" s="3">
        <v>64.209999999999994</v>
      </c>
      <c r="N255">
        <v>5</v>
      </c>
      <c r="O255" s="3">
        <v>0.2</v>
      </c>
      <c r="P255" s="3">
        <v>-8.2200000000000006</v>
      </c>
      <c r="Q255" s="3">
        <f>Table1_1[[#This Row],[Sales]]/Table1_1[[#This Row],[Quantity]]</f>
        <v>12.841999999999999</v>
      </c>
    </row>
    <row r="256" spans="1:17" x14ac:dyDescent="0.3">
      <c r="A256" t="s">
        <v>269</v>
      </c>
      <c r="B256" s="2">
        <f t="shared" si="6"/>
        <v>45325</v>
      </c>
      <c r="C256" t="s">
        <v>759</v>
      </c>
      <c r="D256" s="2">
        <v>45333</v>
      </c>
      <c r="E256" t="s">
        <v>1369</v>
      </c>
      <c r="F256" t="s">
        <v>1375</v>
      </c>
      <c r="G256" t="s">
        <v>1379</v>
      </c>
      <c r="H256" t="s">
        <v>1382</v>
      </c>
      <c r="I256" t="s">
        <v>1389</v>
      </c>
      <c r="J256" t="s">
        <v>1394</v>
      </c>
      <c r="K256" t="s">
        <v>1403</v>
      </c>
      <c r="L256" t="s">
        <v>1593</v>
      </c>
      <c r="M256" s="3">
        <v>43.87</v>
      </c>
      <c r="N256">
        <v>5</v>
      </c>
      <c r="O256" s="3">
        <v>0.15</v>
      </c>
      <c r="P256" s="3">
        <v>-2.62</v>
      </c>
      <c r="Q256" s="3">
        <f>Table1_1[[#This Row],[Sales]]/Table1_1[[#This Row],[Quantity]]</f>
        <v>8.7739999999999991</v>
      </c>
    </row>
    <row r="257" spans="1:17" x14ac:dyDescent="0.3">
      <c r="A257" t="s">
        <v>270</v>
      </c>
      <c r="B257" s="2">
        <f t="shared" si="6"/>
        <v>45407</v>
      </c>
      <c r="C257" t="s">
        <v>760</v>
      </c>
      <c r="D257" s="2">
        <v>45413</v>
      </c>
      <c r="E257" t="s">
        <v>1365</v>
      </c>
      <c r="F257" t="s">
        <v>1376</v>
      </c>
      <c r="G257" t="s">
        <v>1379</v>
      </c>
      <c r="H257" t="s">
        <v>1383</v>
      </c>
      <c r="I257" t="s">
        <v>1390</v>
      </c>
      <c r="J257" t="s">
        <v>1394</v>
      </c>
      <c r="K257" t="s">
        <v>1398</v>
      </c>
      <c r="L257" t="s">
        <v>1594</v>
      </c>
      <c r="M257" s="3">
        <v>511.79</v>
      </c>
      <c r="N257">
        <v>2</v>
      </c>
      <c r="O257" s="3">
        <v>0.1</v>
      </c>
      <c r="P257" s="3">
        <v>10.68</v>
      </c>
      <c r="Q257" s="3">
        <f>Table1_1[[#This Row],[Sales]]/Table1_1[[#This Row],[Quantity]]</f>
        <v>255.89500000000001</v>
      </c>
    </row>
    <row r="258" spans="1:17" x14ac:dyDescent="0.3">
      <c r="A258" t="s">
        <v>271</v>
      </c>
      <c r="B258" s="2">
        <f t="shared" ref="B258:B262" si="7">DATEVALUE(C258)</f>
        <v>44880</v>
      </c>
      <c r="C258" t="s">
        <v>1857</v>
      </c>
      <c r="D258" s="2">
        <v>44889</v>
      </c>
      <c r="E258" t="s">
        <v>1363</v>
      </c>
      <c r="F258" t="s">
        <v>1375</v>
      </c>
      <c r="G258" t="s">
        <v>1379</v>
      </c>
      <c r="H258" t="s">
        <v>1385</v>
      </c>
      <c r="I258" t="s">
        <v>1388</v>
      </c>
      <c r="J258" t="s">
        <v>1394</v>
      </c>
      <c r="K258" t="s">
        <v>1402</v>
      </c>
      <c r="L258" t="s">
        <v>1595</v>
      </c>
      <c r="M258" s="3">
        <v>941.01</v>
      </c>
      <c r="N258">
        <v>9</v>
      </c>
      <c r="O258" s="3">
        <v>0</v>
      </c>
      <c r="P258" s="3">
        <v>-174.58</v>
      </c>
      <c r="Q258" s="3">
        <f>Table1_1[[#This Row],[Sales]]/Table1_1[[#This Row],[Quantity]]</f>
        <v>104.55666666666667</v>
      </c>
    </row>
    <row r="259" spans="1:17" x14ac:dyDescent="0.3">
      <c r="A259" t="s">
        <v>272</v>
      </c>
      <c r="B259" s="2">
        <f t="shared" si="7"/>
        <v>45283</v>
      </c>
      <c r="C259" t="s">
        <v>1858</v>
      </c>
      <c r="D259" s="2">
        <v>45287</v>
      </c>
      <c r="E259" t="s">
        <v>1369</v>
      </c>
      <c r="F259" t="s">
        <v>1376</v>
      </c>
      <c r="G259" t="s">
        <v>1704</v>
      </c>
      <c r="H259" t="s">
        <v>1383</v>
      </c>
      <c r="I259" t="s">
        <v>1389</v>
      </c>
      <c r="J259" t="s">
        <v>1394</v>
      </c>
      <c r="K259" t="s">
        <v>1403</v>
      </c>
      <c r="L259" t="s">
        <v>1489</v>
      </c>
      <c r="M259" s="3">
        <v>991.74</v>
      </c>
      <c r="N259">
        <v>9</v>
      </c>
      <c r="O259" s="3">
        <v>0.2</v>
      </c>
      <c r="P259" s="3">
        <v>116.73</v>
      </c>
      <c r="Q259" s="3">
        <f>Table1_1[[#This Row],[Sales]]/Table1_1[[#This Row],[Quantity]]</f>
        <v>110.19333333333333</v>
      </c>
    </row>
    <row r="260" spans="1:17" x14ac:dyDescent="0.3">
      <c r="A260" t="s">
        <v>273</v>
      </c>
      <c r="B260" s="2">
        <f t="shared" si="7"/>
        <v>45571</v>
      </c>
      <c r="C260" t="s">
        <v>1859</v>
      </c>
      <c r="D260" s="2">
        <v>45461</v>
      </c>
      <c r="E260" t="s">
        <v>1366</v>
      </c>
      <c r="F260" t="s">
        <v>1375</v>
      </c>
      <c r="G260" t="s">
        <v>1704</v>
      </c>
      <c r="H260" t="s">
        <v>1381</v>
      </c>
      <c r="I260" t="s">
        <v>1390</v>
      </c>
      <c r="J260" t="s">
        <v>1393</v>
      </c>
      <c r="K260" t="s">
        <v>1396</v>
      </c>
      <c r="L260" t="s">
        <v>1596</v>
      </c>
      <c r="M260" s="3">
        <v>432.72</v>
      </c>
      <c r="N260">
        <v>3</v>
      </c>
      <c r="O260" s="3">
        <v>0.15</v>
      </c>
      <c r="P260" s="3">
        <v>75.5</v>
      </c>
      <c r="Q260" s="3">
        <f>Table1_1[[#This Row],[Sales]]/Table1_1[[#This Row],[Quantity]]</f>
        <v>144.24</v>
      </c>
    </row>
    <row r="261" spans="1:17" x14ac:dyDescent="0.3">
      <c r="A261" t="s">
        <v>274</v>
      </c>
      <c r="B261" s="2">
        <f t="shared" si="7"/>
        <v>45538</v>
      </c>
      <c r="C261" t="s">
        <v>1860</v>
      </c>
      <c r="D261" s="2">
        <v>45364</v>
      </c>
      <c r="E261" t="s">
        <v>1361</v>
      </c>
      <c r="F261" t="s">
        <v>1375</v>
      </c>
      <c r="G261" t="s">
        <v>1704</v>
      </c>
      <c r="H261" t="s">
        <v>1387</v>
      </c>
      <c r="I261" t="s">
        <v>1390</v>
      </c>
      <c r="J261" t="s">
        <v>1392</v>
      </c>
      <c r="K261" t="s">
        <v>1395</v>
      </c>
      <c r="L261" t="s">
        <v>1585</v>
      </c>
      <c r="M261" s="3">
        <v>285.63</v>
      </c>
      <c r="N261">
        <v>4</v>
      </c>
      <c r="O261" s="3">
        <v>0.15</v>
      </c>
      <c r="P261" s="3">
        <v>35.93</v>
      </c>
      <c r="Q261" s="3">
        <f>Table1_1[[#This Row],[Sales]]/Table1_1[[#This Row],[Quantity]]</f>
        <v>71.407499999999999</v>
      </c>
    </row>
    <row r="262" spans="1:17" x14ac:dyDescent="0.3">
      <c r="A262" t="s">
        <v>275</v>
      </c>
      <c r="B262" s="2">
        <f t="shared" si="7"/>
        <v>45382</v>
      </c>
      <c r="C262" t="s">
        <v>765</v>
      </c>
      <c r="D262" s="2">
        <v>45383</v>
      </c>
      <c r="E262" t="s">
        <v>1372</v>
      </c>
      <c r="F262" t="s">
        <v>1376</v>
      </c>
      <c r="G262" t="s">
        <v>1704</v>
      </c>
      <c r="H262" t="s">
        <v>1385</v>
      </c>
      <c r="I262" t="s">
        <v>1391</v>
      </c>
      <c r="J262" t="s">
        <v>1392</v>
      </c>
      <c r="K262" t="s">
        <v>1397</v>
      </c>
      <c r="L262" t="s">
        <v>1444</v>
      </c>
      <c r="M262" s="3">
        <v>737.85</v>
      </c>
      <c r="N262">
        <v>5</v>
      </c>
      <c r="O262" s="3">
        <v>0.15</v>
      </c>
      <c r="P262" s="3">
        <v>8.7799999999999994</v>
      </c>
      <c r="Q262" s="3">
        <f>Table1_1[[#This Row],[Sales]]/Table1_1[[#This Row],[Quantity]]</f>
        <v>147.57</v>
      </c>
    </row>
    <row r="263" spans="1:17" hidden="1" x14ac:dyDescent="0.3">
      <c r="A263" t="s">
        <v>276</v>
      </c>
      <c r="B263" s="2" t="e">
        <f t="shared" ref="B263:B321" si="8">DATEVALUE(C263)</f>
        <v>#VALUE!</v>
      </c>
      <c r="C263" t="s">
        <v>1861</v>
      </c>
      <c r="D263" s="2">
        <v>45105</v>
      </c>
      <c r="E263" t="s">
        <v>1360</v>
      </c>
      <c r="F263" t="s">
        <v>1376</v>
      </c>
      <c r="G263" t="s">
        <v>1379</v>
      </c>
      <c r="H263" t="s">
        <v>1385</v>
      </c>
      <c r="I263" t="s">
        <v>1388</v>
      </c>
      <c r="J263" t="s">
        <v>1394</v>
      </c>
      <c r="K263" t="s">
        <v>1398</v>
      </c>
      <c r="L263" t="s">
        <v>1584</v>
      </c>
      <c r="M263" s="3">
        <v>140.72999999999999</v>
      </c>
      <c r="N263">
        <v>9</v>
      </c>
      <c r="O263" s="3">
        <v>0.15</v>
      </c>
      <c r="P263" s="3">
        <v>11.36</v>
      </c>
      <c r="Q263" s="3">
        <f>Table1_1[[#This Row],[Sales]]/Table1_1[[#This Row],[Quantity]]</f>
        <v>15.636666666666665</v>
      </c>
    </row>
    <row r="264" spans="1:17" x14ac:dyDescent="0.3">
      <c r="A264" t="s">
        <v>277</v>
      </c>
      <c r="B264" s="2">
        <f t="shared" si="8"/>
        <v>44845</v>
      </c>
      <c r="C264" t="s">
        <v>1862</v>
      </c>
      <c r="D264" s="2">
        <v>44851</v>
      </c>
      <c r="E264" t="s">
        <v>1361</v>
      </c>
      <c r="F264" t="s">
        <v>1376</v>
      </c>
      <c r="G264" t="s">
        <v>1379</v>
      </c>
      <c r="H264" t="s">
        <v>1382</v>
      </c>
      <c r="I264" t="s">
        <v>1390</v>
      </c>
      <c r="J264" t="s">
        <v>1394</v>
      </c>
      <c r="K264" t="s">
        <v>1403</v>
      </c>
      <c r="L264" t="s">
        <v>1512</v>
      </c>
      <c r="M264" s="3">
        <v>794.22</v>
      </c>
      <c r="N264">
        <v>5</v>
      </c>
      <c r="O264" s="3">
        <v>0.1</v>
      </c>
      <c r="P264" s="3">
        <v>-99.31</v>
      </c>
      <c r="Q264" s="3">
        <f>Table1_1[[#This Row],[Sales]]/Table1_1[[#This Row],[Quantity]]</f>
        <v>158.84399999999999</v>
      </c>
    </row>
    <row r="265" spans="1:17" hidden="1" x14ac:dyDescent="0.3">
      <c r="A265" t="s">
        <v>278</v>
      </c>
      <c r="B265" s="2" t="e">
        <f t="shared" si="8"/>
        <v>#VALUE!</v>
      </c>
      <c r="C265" t="s">
        <v>1863</v>
      </c>
      <c r="D265" s="2">
        <v>44596</v>
      </c>
      <c r="E265" t="s">
        <v>1359</v>
      </c>
      <c r="F265" t="s">
        <v>1376</v>
      </c>
      <c r="G265" t="s">
        <v>1704</v>
      </c>
      <c r="H265" t="s">
        <v>1382</v>
      </c>
      <c r="I265" t="s">
        <v>1389</v>
      </c>
      <c r="J265" t="s">
        <v>1394</v>
      </c>
      <c r="K265" t="s">
        <v>1403</v>
      </c>
      <c r="L265" t="s">
        <v>1494</v>
      </c>
      <c r="M265" s="3">
        <v>1090.1600000000001</v>
      </c>
      <c r="N265">
        <v>7</v>
      </c>
      <c r="O265" s="3">
        <v>0.2</v>
      </c>
      <c r="P265" s="3">
        <v>183.55</v>
      </c>
      <c r="Q265" s="3">
        <f>Table1_1[[#This Row],[Sales]]/Table1_1[[#This Row],[Quantity]]</f>
        <v>155.73714285714286</v>
      </c>
    </row>
    <row r="266" spans="1:17" x14ac:dyDescent="0.3">
      <c r="A266" t="s">
        <v>279</v>
      </c>
      <c r="B266" s="2">
        <f t="shared" si="8"/>
        <v>44929</v>
      </c>
      <c r="C266" t="s">
        <v>769</v>
      </c>
      <c r="D266" s="2">
        <v>44938</v>
      </c>
      <c r="E266" t="s">
        <v>1370</v>
      </c>
      <c r="F266" t="s">
        <v>1376</v>
      </c>
      <c r="G266" t="s">
        <v>1704</v>
      </c>
      <c r="H266" t="s">
        <v>1382</v>
      </c>
      <c r="I266" t="s">
        <v>1391</v>
      </c>
      <c r="J266" t="s">
        <v>1394</v>
      </c>
      <c r="K266" t="s">
        <v>1402</v>
      </c>
      <c r="L266" t="s">
        <v>1577</v>
      </c>
      <c r="M266" s="3">
        <v>1011.95</v>
      </c>
      <c r="N266">
        <v>9</v>
      </c>
      <c r="O266" s="3">
        <v>0.1</v>
      </c>
      <c r="P266" s="3">
        <v>-53.74</v>
      </c>
      <c r="Q266" s="3">
        <f>Table1_1[[#This Row],[Sales]]/Table1_1[[#This Row],[Quantity]]</f>
        <v>112.4388888888889</v>
      </c>
    </row>
    <row r="267" spans="1:17" x14ac:dyDescent="0.3">
      <c r="A267" t="s">
        <v>280</v>
      </c>
      <c r="B267" s="2">
        <f t="shared" si="8"/>
        <v>44653</v>
      </c>
      <c r="C267" t="s">
        <v>770</v>
      </c>
      <c r="D267" s="2">
        <v>44657</v>
      </c>
      <c r="E267" t="s">
        <v>1372</v>
      </c>
      <c r="F267" t="s">
        <v>1374</v>
      </c>
      <c r="G267" t="s">
        <v>1379</v>
      </c>
      <c r="H267" t="s">
        <v>1385</v>
      </c>
      <c r="I267" t="s">
        <v>1388</v>
      </c>
      <c r="J267" t="s">
        <v>1394</v>
      </c>
      <c r="K267" t="s">
        <v>1402</v>
      </c>
      <c r="L267" t="s">
        <v>1597</v>
      </c>
      <c r="M267" s="3">
        <v>898.17</v>
      </c>
      <c r="N267">
        <v>5</v>
      </c>
      <c r="O267" s="3">
        <v>0.2</v>
      </c>
      <c r="P267" s="3">
        <v>174.29</v>
      </c>
      <c r="Q267" s="3">
        <f>Table1_1[[#This Row],[Sales]]/Table1_1[[#This Row],[Quantity]]</f>
        <v>179.63399999999999</v>
      </c>
    </row>
    <row r="268" spans="1:17" hidden="1" x14ac:dyDescent="0.3">
      <c r="A268" t="s">
        <v>281</v>
      </c>
      <c r="B268" s="2" t="e">
        <f t="shared" si="8"/>
        <v>#VALUE!</v>
      </c>
      <c r="C268" t="s">
        <v>1864</v>
      </c>
      <c r="D268" s="2">
        <v>44626</v>
      </c>
      <c r="E268" t="s">
        <v>1365</v>
      </c>
      <c r="F268" t="s">
        <v>1376</v>
      </c>
      <c r="G268" t="s">
        <v>1704</v>
      </c>
      <c r="H268" t="s">
        <v>1381</v>
      </c>
      <c r="I268" t="s">
        <v>1390</v>
      </c>
      <c r="J268" t="s">
        <v>1393</v>
      </c>
      <c r="K268" t="s">
        <v>1396</v>
      </c>
      <c r="L268" t="s">
        <v>1598</v>
      </c>
      <c r="M268" s="3">
        <v>104.03</v>
      </c>
      <c r="N268">
        <v>4</v>
      </c>
      <c r="O268" s="3">
        <v>0</v>
      </c>
      <c r="P268" s="3">
        <v>-14.57</v>
      </c>
      <c r="Q268" s="3">
        <f>Table1_1[[#This Row],[Sales]]/Table1_1[[#This Row],[Quantity]]</f>
        <v>26.0075</v>
      </c>
    </row>
    <row r="269" spans="1:17" hidden="1" x14ac:dyDescent="0.3">
      <c r="A269" t="s">
        <v>282</v>
      </c>
      <c r="B269" s="2" t="e">
        <f t="shared" si="8"/>
        <v>#VALUE!</v>
      </c>
      <c r="C269" t="s">
        <v>1865</v>
      </c>
      <c r="D269" s="2">
        <v>44773</v>
      </c>
      <c r="E269" t="s">
        <v>1363</v>
      </c>
      <c r="F269" t="s">
        <v>1376</v>
      </c>
      <c r="G269" t="s">
        <v>1379</v>
      </c>
      <c r="H269" t="s">
        <v>1382</v>
      </c>
      <c r="I269" t="s">
        <v>1390</v>
      </c>
      <c r="J269" t="s">
        <v>1394</v>
      </c>
      <c r="K269" t="s">
        <v>1398</v>
      </c>
      <c r="L269" t="s">
        <v>1599</v>
      </c>
      <c r="M269" s="3">
        <v>1073.56</v>
      </c>
      <c r="N269">
        <v>8</v>
      </c>
      <c r="O269" s="3">
        <v>0.1</v>
      </c>
      <c r="P269" s="3">
        <v>-44.88</v>
      </c>
      <c r="Q269" s="3">
        <f>Table1_1[[#This Row],[Sales]]/Table1_1[[#This Row],[Quantity]]</f>
        <v>134.19499999999999</v>
      </c>
    </row>
    <row r="270" spans="1:17" x14ac:dyDescent="0.3">
      <c r="A270" t="s">
        <v>283</v>
      </c>
      <c r="B270" s="2">
        <f t="shared" si="8"/>
        <v>45211</v>
      </c>
      <c r="C270" t="s">
        <v>773</v>
      </c>
      <c r="D270" s="2">
        <v>45212</v>
      </c>
      <c r="E270" t="s">
        <v>1369</v>
      </c>
      <c r="F270" t="s">
        <v>1374</v>
      </c>
      <c r="G270" t="s">
        <v>1704</v>
      </c>
      <c r="H270" t="s">
        <v>1382</v>
      </c>
      <c r="I270" t="s">
        <v>1389</v>
      </c>
      <c r="J270" t="s">
        <v>1392</v>
      </c>
      <c r="K270" t="s">
        <v>1397</v>
      </c>
      <c r="L270" t="s">
        <v>1600</v>
      </c>
      <c r="M270" s="3">
        <v>342.76</v>
      </c>
      <c r="N270">
        <v>3</v>
      </c>
      <c r="O270" s="3">
        <v>0</v>
      </c>
      <c r="P270" s="3">
        <v>62.47</v>
      </c>
      <c r="Q270" s="3">
        <f>Table1_1[[#This Row],[Sales]]/Table1_1[[#This Row],[Quantity]]</f>
        <v>114.25333333333333</v>
      </c>
    </row>
    <row r="271" spans="1:17" x14ac:dyDescent="0.3">
      <c r="A271" t="s">
        <v>284</v>
      </c>
      <c r="B271" s="2">
        <f t="shared" si="8"/>
        <v>45001</v>
      </c>
      <c r="C271" t="s">
        <v>774</v>
      </c>
      <c r="D271" s="2">
        <v>45009</v>
      </c>
      <c r="E271" t="s">
        <v>1359</v>
      </c>
      <c r="F271" t="s">
        <v>1375</v>
      </c>
      <c r="G271" t="s">
        <v>1379</v>
      </c>
      <c r="H271" t="s">
        <v>1382</v>
      </c>
      <c r="I271" t="s">
        <v>1390</v>
      </c>
      <c r="J271" t="s">
        <v>1394</v>
      </c>
      <c r="K271" t="s">
        <v>1402</v>
      </c>
      <c r="L271" t="s">
        <v>1601</v>
      </c>
      <c r="M271" s="3">
        <v>64.52</v>
      </c>
      <c r="N271">
        <v>4</v>
      </c>
      <c r="O271" s="3">
        <v>0.15</v>
      </c>
      <c r="P271" s="3">
        <v>17.75</v>
      </c>
      <c r="Q271" s="3">
        <f>Table1_1[[#This Row],[Sales]]/Table1_1[[#This Row],[Quantity]]</f>
        <v>16.13</v>
      </c>
    </row>
    <row r="272" spans="1:17" x14ac:dyDescent="0.3">
      <c r="A272" t="s">
        <v>285</v>
      </c>
      <c r="B272" s="2">
        <f t="shared" si="8"/>
        <v>45272</v>
      </c>
      <c r="C272" t="s">
        <v>1866</v>
      </c>
      <c r="D272" s="2">
        <v>45278</v>
      </c>
      <c r="E272" t="s">
        <v>1366</v>
      </c>
      <c r="F272" t="s">
        <v>1376</v>
      </c>
      <c r="G272" t="s">
        <v>1704</v>
      </c>
      <c r="H272" t="s">
        <v>1382</v>
      </c>
      <c r="I272" t="s">
        <v>1391</v>
      </c>
      <c r="J272" t="s">
        <v>1394</v>
      </c>
      <c r="K272" t="s">
        <v>1402</v>
      </c>
      <c r="L272" t="s">
        <v>1602</v>
      </c>
      <c r="M272" s="3">
        <v>141.19999999999999</v>
      </c>
      <c r="N272">
        <v>9</v>
      </c>
      <c r="O272" s="3">
        <v>0</v>
      </c>
      <c r="P272" s="3">
        <v>-6.63</v>
      </c>
      <c r="Q272" s="3">
        <f>Table1_1[[#This Row],[Sales]]/Table1_1[[#This Row],[Quantity]]</f>
        <v>15.688888888888888</v>
      </c>
    </row>
    <row r="273" spans="1:17" x14ac:dyDescent="0.3">
      <c r="A273" t="s">
        <v>286</v>
      </c>
      <c r="B273" s="2">
        <f t="shared" si="8"/>
        <v>45265</v>
      </c>
      <c r="C273" t="s">
        <v>776</v>
      </c>
      <c r="D273" s="2">
        <v>45268</v>
      </c>
      <c r="E273" t="s">
        <v>1369</v>
      </c>
      <c r="F273" t="s">
        <v>1375</v>
      </c>
      <c r="G273" t="s">
        <v>1704</v>
      </c>
      <c r="H273" t="s">
        <v>1387</v>
      </c>
      <c r="I273" t="s">
        <v>1388</v>
      </c>
      <c r="J273" t="s">
        <v>1394</v>
      </c>
      <c r="K273" t="s">
        <v>1403</v>
      </c>
      <c r="L273" t="s">
        <v>1603</v>
      </c>
      <c r="M273" s="3">
        <v>443.92</v>
      </c>
      <c r="N273">
        <v>4</v>
      </c>
      <c r="O273" s="3">
        <v>0.1</v>
      </c>
      <c r="P273" s="3">
        <v>121.65</v>
      </c>
      <c r="Q273" s="3">
        <f>Table1_1[[#This Row],[Sales]]/Table1_1[[#This Row],[Quantity]]</f>
        <v>110.98</v>
      </c>
    </row>
    <row r="274" spans="1:17" x14ac:dyDescent="0.3">
      <c r="A274" t="s">
        <v>287</v>
      </c>
      <c r="B274" s="2">
        <f t="shared" si="8"/>
        <v>45078</v>
      </c>
      <c r="C274" t="s">
        <v>777</v>
      </c>
      <c r="D274" s="2">
        <v>45081</v>
      </c>
      <c r="E274" t="s">
        <v>1364</v>
      </c>
      <c r="F274" t="s">
        <v>1375</v>
      </c>
      <c r="G274" t="s">
        <v>1379</v>
      </c>
      <c r="H274" t="s">
        <v>1382</v>
      </c>
      <c r="I274" t="s">
        <v>1388</v>
      </c>
      <c r="J274" t="s">
        <v>1392</v>
      </c>
      <c r="K274" t="s">
        <v>1397</v>
      </c>
      <c r="L274" t="s">
        <v>1604</v>
      </c>
      <c r="M274" s="3">
        <v>859.11</v>
      </c>
      <c r="N274">
        <v>1</v>
      </c>
      <c r="O274" s="3">
        <v>0.2</v>
      </c>
      <c r="P274" s="3">
        <v>204.7</v>
      </c>
      <c r="Q274" s="3">
        <f>Table1_1[[#This Row],[Sales]]/Table1_1[[#This Row],[Quantity]]</f>
        <v>859.11</v>
      </c>
    </row>
    <row r="275" spans="1:17" x14ac:dyDescent="0.3">
      <c r="A275" t="s">
        <v>288</v>
      </c>
      <c r="B275" s="2">
        <f t="shared" si="8"/>
        <v>45418</v>
      </c>
      <c r="C275" t="s">
        <v>778</v>
      </c>
      <c r="D275" s="2">
        <v>45419</v>
      </c>
      <c r="E275" t="s">
        <v>1365</v>
      </c>
      <c r="F275" t="s">
        <v>1375</v>
      </c>
      <c r="G275" t="s">
        <v>1704</v>
      </c>
      <c r="H275" t="s">
        <v>1382</v>
      </c>
      <c r="I275" t="s">
        <v>1388</v>
      </c>
      <c r="J275" t="s">
        <v>1392</v>
      </c>
      <c r="K275" t="s">
        <v>1395</v>
      </c>
      <c r="L275" t="s">
        <v>1496</v>
      </c>
      <c r="M275" s="3">
        <v>156.63</v>
      </c>
      <c r="N275">
        <v>8</v>
      </c>
      <c r="O275" s="3">
        <v>0.2</v>
      </c>
      <c r="P275" s="3">
        <v>-21.65</v>
      </c>
      <c r="Q275" s="3">
        <f>Table1_1[[#This Row],[Sales]]/Table1_1[[#This Row],[Quantity]]</f>
        <v>19.578749999999999</v>
      </c>
    </row>
    <row r="276" spans="1:17" x14ac:dyDescent="0.3">
      <c r="A276" t="s">
        <v>289</v>
      </c>
      <c r="B276" s="2">
        <f t="shared" si="8"/>
        <v>44992</v>
      </c>
      <c r="C276" t="s">
        <v>1867</v>
      </c>
      <c r="D276" s="2">
        <v>44994</v>
      </c>
      <c r="E276" t="s">
        <v>1364</v>
      </c>
      <c r="F276" t="s">
        <v>1374</v>
      </c>
      <c r="G276" t="s">
        <v>1379</v>
      </c>
      <c r="H276" t="s">
        <v>1384</v>
      </c>
      <c r="I276" t="s">
        <v>1388</v>
      </c>
      <c r="J276" t="s">
        <v>1393</v>
      </c>
      <c r="K276" t="s">
        <v>1396</v>
      </c>
      <c r="L276" t="s">
        <v>1605</v>
      </c>
      <c r="M276" s="3">
        <v>338.57</v>
      </c>
      <c r="N276">
        <v>10</v>
      </c>
      <c r="O276" s="3">
        <v>0.1</v>
      </c>
      <c r="P276" s="3">
        <v>3.19</v>
      </c>
      <c r="Q276" s="3">
        <f>Table1_1[[#This Row],[Sales]]/Table1_1[[#This Row],[Quantity]]</f>
        <v>33.856999999999999</v>
      </c>
    </row>
    <row r="277" spans="1:17" x14ac:dyDescent="0.3">
      <c r="A277" t="s">
        <v>290</v>
      </c>
      <c r="B277" s="2">
        <f t="shared" si="8"/>
        <v>45071</v>
      </c>
      <c r="C277" t="s">
        <v>780</v>
      </c>
      <c r="D277" s="2">
        <v>45075</v>
      </c>
      <c r="E277" t="s">
        <v>1371</v>
      </c>
      <c r="F277" t="s">
        <v>1375</v>
      </c>
      <c r="G277" t="s">
        <v>1704</v>
      </c>
      <c r="H277" t="s">
        <v>1387</v>
      </c>
      <c r="I277" t="s">
        <v>1389</v>
      </c>
      <c r="J277" t="s">
        <v>1393</v>
      </c>
      <c r="K277" t="s">
        <v>1400</v>
      </c>
      <c r="L277" t="s">
        <v>1606</v>
      </c>
      <c r="M277" s="3">
        <v>937.99</v>
      </c>
      <c r="N277">
        <v>9</v>
      </c>
      <c r="O277" s="3">
        <v>0.1</v>
      </c>
      <c r="P277" s="3">
        <v>-19.73</v>
      </c>
      <c r="Q277" s="3">
        <f>Table1_1[[#This Row],[Sales]]/Table1_1[[#This Row],[Quantity]]</f>
        <v>104.22111111111111</v>
      </c>
    </row>
    <row r="278" spans="1:17" x14ac:dyDescent="0.3">
      <c r="A278" t="s">
        <v>291</v>
      </c>
      <c r="B278" s="2">
        <f t="shared" si="8"/>
        <v>44802</v>
      </c>
      <c r="C278" t="s">
        <v>1868</v>
      </c>
      <c r="D278" s="2">
        <v>44803</v>
      </c>
      <c r="E278" t="s">
        <v>1361</v>
      </c>
      <c r="F278" t="s">
        <v>1375</v>
      </c>
      <c r="G278" t="s">
        <v>1379</v>
      </c>
      <c r="H278" t="s">
        <v>1384</v>
      </c>
      <c r="I278" t="s">
        <v>1390</v>
      </c>
      <c r="J278" t="s">
        <v>1392</v>
      </c>
      <c r="K278" t="s">
        <v>1395</v>
      </c>
      <c r="L278" t="s">
        <v>1429</v>
      </c>
      <c r="M278" s="3">
        <v>125.02</v>
      </c>
      <c r="N278">
        <v>2</v>
      </c>
      <c r="O278" s="3">
        <v>0</v>
      </c>
      <c r="P278" s="3">
        <v>16.82</v>
      </c>
      <c r="Q278" s="3">
        <f>Table1_1[[#This Row],[Sales]]/Table1_1[[#This Row],[Quantity]]</f>
        <v>62.51</v>
      </c>
    </row>
    <row r="279" spans="1:17" x14ac:dyDescent="0.3">
      <c r="A279" t="s">
        <v>292</v>
      </c>
      <c r="B279" s="2">
        <f t="shared" si="8"/>
        <v>44865</v>
      </c>
      <c r="C279" t="s">
        <v>782</v>
      </c>
      <c r="D279" s="2">
        <v>44870</v>
      </c>
      <c r="E279" t="s">
        <v>1372</v>
      </c>
      <c r="F279" t="s">
        <v>1374</v>
      </c>
      <c r="G279" t="s">
        <v>1379</v>
      </c>
      <c r="H279" t="s">
        <v>1381</v>
      </c>
      <c r="I279" t="s">
        <v>1388</v>
      </c>
      <c r="J279" t="s">
        <v>1394</v>
      </c>
      <c r="K279" t="s">
        <v>1402</v>
      </c>
      <c r="L279" t="s">
        <v>1500</v>
      </c>
      <c r="M279" s="3">
        <v>137.77000000000001</v>
      </c>
      <c r="N279">
        <v>3</v>
      </c>
      <c r="O279" s="3">
        <v>0</v>
      </c>
      <c r="P279" s="3">
        <v>31.15</v>
      </c>
      <c r="Q279" s="3">
        <f>Table1_1[[#This Row],[Sales]]/Table1_1[[#This Row],[Quantity]]</f>
        <v>45.923333333333339</v>
      </c>
    </row>
    <row r="280" spans="1:17" x14ac:dyDescent="0.3">
      <c r="A280" t="s">
        <v>293</v>
      </c>
      <c r="B280" s="2">
        <f t="shared" si="8"/>
        <v>45434</v>
      </c>
      <c r="C280" t="s">
        <v>783</v>
      </c>
      <c r="D280" s="2">
        <v>45437</v>
      </c>
      <c r="E280" t="s">
        <v>1366</v>
      </c>
      <c r="F280" t="s">
        <v>1376</v>
      </c>
      <c r="G280" t="s">
        <v>1704</v>
      </c>
      <c r="H280" t="s">
        <v>1381</v>
      </c>
      <c r="I280" t="s">
        <v>1389</v>
      </c>
      <c r="J280" t="s">
        <v>1393</v>
      </c>
      <c r="K280" t="s">
        <v>1396</v>
      </c>
      <c r="L280" t="s">
        <v>1607</v>
      </c>
      <c r="M280" s="3">
        <v>221.2</v>
      </c>
      <c r="N280">
        <v>6</v>
      </c>
      <c r="O280" s="3">
        <v>0.2</v>
      </c>
      <c r="P280" s="3">
        <v>61.39</v>
      </c>
      <c r="Q280" s="3">
        <f>Table1_1[[#This Row],[Sales]]/Table1_1[[#This Row],[Quantity]]</f>
        <v>36.866666666666667</v>
      </c>
    </row>
    <row r="281" spans="1:17" hidden="1" x14ac:dyDescent="0.3">
      <c r="A281" t="s">
        <v>294</v>
      </c>
      <c r="B281" s="2" t="e">
        <f t="shared" si="8"/>
        <v>#VALUE!</v>
      </c>
      <c r="C281" t="s">
        <v>1869</v>
      </c>
      <c r="D281" s="2">
        <v>45034</v>
      </c>
      <c r="E281" t="s">
        <v>1369</v>
      </c>
      <c r="F281" t="s">
        <v>1375</v>
      </c>
      <c r="G281" t="s">
        <v>1704</v>
      </c>
      <c r="H281" t="s">
        <v>1383</v>
      </c>
      <c r="I281" t="s">
        <v>1389</v>
      </c>
      <c r="J281" t="s">
        <v>1394</v>
      </c>
      <c r="K281" t="s">
        <v>1398</v>
      </c>
      <c r="L281" t="s">
        <v>1515</v>
      </c>
      <c r="M281" s="3">
        <v>1023.79</v>
      </c>
      <c r="N281">
        <v>7</v>
      </c>
      <c r="O281" s="3">
        <v>0.1</v>
      </c>
      <c r="P281" s="3">
        <v>-146.88</v>
      </c>
      <c r="Q281" s="3">
        <f>Table1_1[[#This Row],[Sales]]/Table1_1[[#This Row],[Quantity]]</f>
        <v>146.25571428571428</v>
      </c>
    </row>
    <row r="282" spans="1:17" hidden="1" x14ac:dyDescent="0.3">
      <c r="A282" t="s">
        <v>295</v>
      </c>
      <c r="B282" s="2" t="e">
        <f t="shared" si="8"/>
        <v>#VALUE!</v>
      </c>
      <c r="C282" t="s">
        <v>1870</v>
      </c>
      <c r="D282" s="2">
        <v>45264</v>
      </c>
      <c r="E282" t="s">
        <v>1368</v>
      </c>
      <c r="F282" t="s">
        <v>1376</v>
      </c>
      <c r="G282" t="s">
        <v>1379</v>
      </c>
      <c r="H282" t="s">
        <v>1385</v>
      </c>
      <c r="I282" t="s">
        <v>1389</v>
      </c>
      <c r="J282" t="s">
        <v>1392</v>
      </c>
      <c r="K282" t="s">
        <v>1395</v>
      </c>
      <c r="L282" t="s">
        <v>1501</v>
      </c>
      <c r="M282" s="3">
        <v>468.11</v>
      </c>
      <c r="N282">
        <v>6</v>
      </c>
      <c r="O282" s="3">
        <v>0</v>
      </c>
      <c r="P282" s="3">
        <v>-86.88</v>
      </c>
      <c r="Q282" s="3">
        <f>Table1_1[[#This Row],[Sales]]/Table1_1[[#This Row],[Quantity]]</f>
        <v>78.018333333333331</v>
      </c>
    </row>
    <row r="283" spans="1:17" x14ac:dyDescent="0.3">
      <c r="A283" t="s">
        <v>296</v>
      </c>
      <c r="B283" s="2">
        <f t="shared" si="8"/>
        <v>44626</v>
      </c>
      <c r="C283" t="s">
        <v>1753</v>
      </c>
      <c r="D283" s="2">
        <v>44631</v>
      </c>
      <c r="E283" t="s">
        <v>1362</v>
      </c>
      <c r="F283" t="s">
        <v>1374</v>
      </c>
      <c r="G283" t="s">
        <v>1379</v>
      </c>
      <c r="H283" t="s">
        <v>1385</v>
      </c>
      <c r="I283" t="s">
        <v>1390</v>
      </c>
      <c r="J283" t="s">
        <v>1393</v>
      </c>
      <c r="K283" t="s">
        <v>1399</v>
      </c>
      <c r="L283" t="s">
        <v>1516</v>
      </c>
      <c r="M283" s="3">
        <v>34.590000000000003</v>
      </c>
      <c r="N283">
        <v>9</v>
      </c>
      <c r="O283" s="3">
        <v>0</v>
      </c>
      <c r="P283" s="3">
        <v>5.6</v>
      </c>
      <c r="Q283" s="3">
        <f>Table1_1[[#This Row],[Sales]]/Table1_1[[#This Row],[Quantity]]</f>
        <v>3.8433333333333337</v>
      </c>
    </row>
    <row r="284" spans="1:17" x14ac:dyDescent="0.3">
      <c r="A284" t="s">
        <v>297</v>
      </c>
      <c r="B284" s="2">
        <f t="shared" si="8"/>
        <v>44916</v>
      </c>
      <c r="C284" t="s">
        <v>1871</v>
      </c>
      <c r="D284" s="2">
        <v>44923</v>
      </c>
      <c r="E284" t="s">
        <v>1360</v>
      </c>
      <c r="F284" t="s">
        <v>1376</v>
      </c>
      <c r="G284" t="s">
        <v>1704</v>
      </c>
      <c r="H284" t="s">
        <v>1381</v>
      </c>
      <c r="I284" t="s">
        <v>1389</v>
      </c>
      <c r="J284" t="s">
        <v>1392</v>
      </c>
      <c r="K284" t="s">
        <v>1395</v>
      </c>
      <c r="L284" t="s">
        <v>1525</v>
      </c>
      <c r="M284" s="3">
        <v>1072.6300000000001</v>
      </c>
      <c r="N284">
        <v>10</v>
      </c>
      <c r="O284" s="3">
        <v>0</v>
      </c>
      <c r="P284" s="3">
        <v>-208.28</v>
      </c>
      <c r="Q284" s="3">
        <f>Table1_1[[#This Row],[Sales]]/Table1_1[[#This Row],[Quantity]]</f>
        <v>107.26300000000001</v>
      </c>
    </row>
    <row r="285" spans="1:17" x14ac:dyDescent="0.3">
      <c r="A285" t="s">
        <v>298</v>
      </c>
      <c r="B285" s="2">
        <f t="shared" si="8"/>
        <v>44808</v>
      </c>
      <c r="C285" t="s">
        <v>1872</v>
      </c>
      <c r="D285" s="2">
        <v>44814</v>
      </c>
      <c r="E285" t="s">
        <v>1366</v>
      </c>
      <c r="F285" t="s">
        <v>1376</v>
      </c>
      <c r="G285" t="s">
        <v>1704</v>
      </c>
      <c r="H285" t="s">
        <v>1381</v>
      </c>
      <c r="I285" t="s">
        <v>1389</v>
      </c>
      <c r="J285" t="s">
        <v>1394</v>
      </c>
      <c r="K285" t="s">
        <v>1402</v>
      </c>
      <c r="L285" t="s">
        <v>1551</v>
      </c>
      <c r="M285" s="3">
        <v>618.17999999999995</v>
      </c>
      <c r="N285">
        <v>9</v>
      </c>
      <c r="O285" s="3">
        <v>0.2</v>
      </c>
      <c r="P285" s="3">
        <v>1.01</v>
      </c>
      <c r="Q285" s="3">
        <f>Table1_1[[#This Row],[Sales]]/Table1_1[[#This Row],[Quantity]]</f>
        <v>68.686666666666667</v>
      </c>
    </row>
    <row r="286" spans="1:17" hidden="1" x14ac:dyDescent="0.3">
      <c r="A286" t="s">
        <v>299</v>
      </c>
      <c r="B286" s="2" t="e">
        <f t="shared" si="8"/>
        <v>#VALUE!</v>
      </c>
      <c r="C286" t="s">
        <v>1873</v>
      </c>
      <c r="D286" s="2">
        <v>44887</v>
      </c>
      <c r="E286" t="s">
        <v>1359</v>
      </c>
      <c r="F286" t="s">
        <v>1375</v>
      </c>
      <c r="G286" t="s">
        <v>1379</v>
      </c>
      <c r="H286" t="s">
        <v>1383</v>
      </c>
      <c r="I286" t="s">
        <v>1390</v>
      </c>
      <c r="J286" t="s">
        <v>1394</v>
      </c>
      <c r="K286" t="s">
        <v>1398</v>
      </c>
      <c r="L286" t="s">
        <v>1456</v>
      </c>
      <c r="M286" s="3">
        <v>790.98</v>
      </c>
      <c r="N286">
        <v>2</v>
      </c>
      <c r="O286" s="3">
        <v>0.2</v>
      </c>
      <c r="P286" s="3">
        <v>4.88</v>
      </c>
      <c r="Q286" s="3">
        <f>Table1_1[[#This Row],[Sales]]/Table1_1[[#This Row],[Quantity]]</f>
        <v>395.49</v>
      </c>
    </row>
    <row r="287" spans="1:17" hidden="1" x14ac:dyDescent="0.3">
      <c r="A287" t="s">
        <v>300</v>
      </c>
      <c r="B287" s="2" t="e">
        <f t="shared" si="8"/>
        <v>#VALUE!</v>
      </c>
      <c r="C287" t="s">
        <v>1874</v>
      </c>
      <c r="D287" s="2">
        <v>45257</v>
      </c>
      <c r="E287" t="s">
        <v>1360</v>
      </c>
      <c r="F287" t="s">
        <v>1374</v>
      </c>
      <c r="G287" t="s">
        <v>1379</v>
      </c>
      <c r="H287" t="s">
        <v>1382</v>
      </c>
      <c r="I287" t="s">
        <v>1389</v>
      </c>
      <c r="J287" t="s">
        <v>1394</v>
      </c>
      <c r="K287" t="s">
        <v>1403</v>
      </c>
      <c r="L287" t="s">
        <v>1608</v>
      </c>
      <c r="M287" s="3">
        <v>993.87</v>
      </c>
      <c r="N287">
        <v>4</v>
      </c>
      <c r="O287" s="3">
        <v>0.2</v>
      </c>
      <c r="P287" s="3">
        <v>-33.81</v>
      </c>
      <c r="Q287" s="3">
        <f>Table1_1[[#This Row],[Sales]]/Table1_1[[#This Row],[Quantity]]</f>
        <v>248.4675</v>
      </c>
    </row>
    <row r="288" spans="1:17" x14ac:dyDescent="0.3">
      <c r="A288" t="s">
        <v>301</v>
      </c>
      <c r="B288" s="2">
        <f t="shared" si="8"/>
        <v>44838</v>
      </c>
      <c r="C288" t="s">
        <v>1875</v>
      </c>
      <c r="D288" s="2">
        <v>44665</v>
      </c>
      <c r="E288" t="s">
        <v>1369</v>
      </c>
      <c r="F288" t="s">
        <v>1375</v>
      </c>
      <c r="G288" t="s">
        <v>1704</v>
      </c>
      <c r="H288" t="s">
        <v>1387</v>
      </c>
      <c r="I288" t="s">
        <v>1389</v>
      </c>
      <c r="J288" t="s">
        <v>1392</v>
      </c>
      <c r="K288" t="s">
        <v>1397</v>
      </c>
      <c r="L288" t="s">
        <v>1609</v>
      </c>
      <c r="M288" s="3">
        <v>439.06</v>
      </c>
      <c r="N288">
        <v>5</v>
      </c>
      <c r="O288" s="3">
        <v>0</v>
      </c>
      <c r="P288" s="3">
        <v>26.78</v>
      </c>
      <c r="Q288" s="3">
        <f>Table1_1[[#This Row],[Sales]]/Table1_1[[#This Row],[Quantity]]</f>
        <v>87.811999999999998</v>
      </c>
    </row>
    <row r="289" spans="1:17" x14ac:dyDescent="0.3">
      <c r="A289" t="s">
        <v>302</v>
      </c>
      <c r="B289" s="2">
        <f t="shared" si="8"/>
        <v>44822</v>
      </c>
      <c r="C289" t="s">
        <v>1750</v>
      </c>
      <c r="D289" s="2">
        <v>44832</v>
      </c>
      <c r="E289" t="s">
        <v>1371</v>
      </c>
      <c r="F289" t="s">
        <v>1376</v>
      </c>
      <c r="G289" t="s">
        <v>1379</v>
      </c>
      <c r="H289" t="s">
        <v>1382</v>
      </c>
      <c r="I289" t="s">
        <v>1388</v>
      </c>
      <c r="J289" t="s">
        <v>1392</v>
      </c>
      <c r="K289" t="s">
        <v>1401</v>
      </c>
      <c r="L289" t="s">
        <v>1610</v>
      </c>
      <c r="M289" s="3">
        <v>162.47999999999999</v>
      </c>
      <c r="N289">
        <v>7</v>
      </c>
      <c r="O289" s="3">
        <v>0.1</v>
      </c>
      <c r="P289" s="3">
        <v>4.63</v>
      </c>
      <c r="Q289" s="3">
        <f>Table1_1[[#This Row],[Sales]]/Table1_1[[#This Row],[Quantity]]</f>
        <v>23.21142857142857</v>
      </c>
    </row>
    <row r="290" spans="1:17" x14ac:dyDescent="0.3">
      <c r="A290" t="s">
        <v>303</v>
      </c>
      <c r="B290" s="2">
        <f t="shared" si="8"/>
        <v>45111</v>
      </c>
      <c r="C290" t="s">
        <v>1876</v>
      </c>
      <c r="D290" s="2">
        <v>45031</v>
      </c>
      <c r="E290" t="s">
        <v>1361</v>
      </c>
      <c r="F290" t="s">
        <v>1376</v>
      </c>
      <c r="G290" t="s">
        <v>1704</v>
      </c>
      <c r="H290" t="s">
        <v>1383</v>
      </c>
      <c r="I290" t="s">
        <v>1390</v>
      </c>
      <c r="J290" t="s">
        <v>1393</v>
      </c>
      <c r="K290" t="s">
        <v>1396</v>
      </c>
      <c r="L290" t="s">
        <v>1611</v>
      </c>
      <c r="M290" s="3">
        <v>1148.3</v>
      </c>
      <c r="N290">
        <v>3</v>
      </c>
      <c r="O290" s="3">
        <v>0.2</v>
      </c>
      <c r="P290" s="3">
        <v>-227.17</v>
      </c>
      <c r="Q290" s="3">
        <f>Table1_1[[#This Row],[Sales]]/Table1_1[[#This Row],[Quantity]]</f>
        <v>382.76666666666665</v>
      </c>
    </row>
    <row r="291" spans="1:17" hidden="1" x14ac:dyDescent="0.3">
      <c r="A291" t="s">
        <v>304</v>
      </c>
      <c r="B291" s="2" t="e">
        <f t="shared" si="8"/>
        <v>#VALUE!</v>
      </c>
      <c r="C291" t="s">
        <v>1877</v>
      </c>
      <c r="D291" s="2">
        <v>45157</v>
      </c>
      <c r="E291" t="s">
        <v>1373</v>
      </c>
      <c r="F291" t="s">
        <v>1374</v>
      </c>
      <c r="G291" t="s">
        <v>1704</v>
      </c>
      <c r="H291" t="s">
        <v>1384</v>
      </c>
      <c r="I291" t="s">
        <v>1389</v>
      </c>
      <c r="J291" t="s">
        <v>1393</v>
      </c>
      <c r="K291" t="s">
        <v>1400</v>
      </c>
      <c r="L291" t="s">
        <v>1606</v>
      </c>
      <c r="M291" s="3">
        <v>142.19</v>
      </c>
      <c r="N291">
        <v>10</v>
      </c>
      <c r="O291" s="3">
        <v>0</v>
      </c>
      <c r="P291" s="3">
        <v>34.32</v>
      </c>
      <c r="Q291" s="3">
        <f>Table1_1[[#This Row],[Sales]]/Table1_1[[#This Row],[Quantity]]</f>
        <v>14.218999999999999</v>
      </c>
    </row>
    <row r="292" spans="1:17" hidden="1" x14ac:dyDescent="0.3">
      <c r="A292" t="s">
        <v>305</v>
      </c>
      <c r="B292" s="2" t="e">
        <f t="shared" si="8"/>
        <v>#VALUE!</v>
      </c>
      <c r="C292" t="s">
        <v>1878</v>
      </c>
      <c r="D292" s="2">
        <v>44871</v>
      </c>
      <c r="E292" t="s">
        <v>1362</v>
      </c>
      <c r="F292" t="s">
        <v>1374</v>
      </c>
      <c r="G292" t="s">
        <v>1704</v>
      </c>
      <c r="H292" t="s">
        <v>1387</v>
      </c>
      <c r="I292" t="s">
        <v>1390</v>
      </c>
      <c r="J292" t="s">
        <v>1392</v>
      </c>
      <c r="K292" t="s">
        <v>1401</v>
      </c>
      <c r="L292" t="s">
        <v>1612</v>
      </c>
      <c r="M292" s="3">
        <v>507.04</v>
      </c>
      <c r="N292">
        <v>9</v>
      </c>
      <c r="O292" s="3">
        <v>0.15</v>
      </c>
      <c r="P292" s="3">
        <v>112.33</v>
      </c>
      <c r="Q292" s="3">
        <f>Table1_1[[#This Row],[Sales]]/Table1_1[[#This Row],[Quantity]]</f>
        <v>56.337777777777781</v>
      </c>
    </row>
    <row r="293" spans="1:17" x14ac:dyDescent="0.3">
      <c r="A293" t="s">
        <v>306</v>
      </c>
      <c r="B293" s="2">
        <f t="shared" si="8"/>
        <v>45323</v>
      </c>
      <c r="C293" t="s">
        <v>1727</v>
      </c>
      <c r="D293" s="2">
        <v>45298</v>
      </c>
      <c r="E293" t="s">
        <v>1362</v>
      </c>
      <c r="F293" t="s">
        <v>1375</v>
      </c>
      <c r="G293" t="s">
        <v>1379</v>
      </c>
      <c r="H293" t="s">
        <v>1383</v>
      </c>
      <c r="I293" t="s">
        <v>1389</v>
      </c>
      <c r="J293" t="s">
        <v>1393</v>
      </c>
      <c r="K293" t="s">
        <v>1399</v>
      </c>
      <c r="L293" t="s">
        <v>1548</v>
      </c>
      <c r="M293" s="3">
        <v>1107.01</v>
      </c>
      <c r="N293">
        <v>3</v>
      </c>
      <c r="O293" s="3">
        <v>0.1</v>
      </c>
      <c r="P293" s="3">
        <v>57.51</v>
      </c>
      <c r="Q293" s="3">
        <f>Table1_1[[#This Row],[Sales]]/Table1_1[[#This Row],[Quantity]]</f>
        <v>369.00333333333333</v>
      </c>
    </row>
    <row r="294" spans="1:17" x14ac:dyDescent="0.3">
      <c r="A294" t="s">
        <v>307</v>
      </c>
      <c r="B294" s="2">
        <f t="shared" si="8"/>
        <v>45146</v>
      </c>
      <c r="C294" t="s">
        <v>794</v>
      </c>
      <c r="D294" s="2">
        <v>45153</v>
      </c>
      <c r="E294" t="s">
        <v>1361</v>
      </c>
      <c r="F294" t="s">
        <v>1375</v>
      </c>
      <c r="G294" t="s">
        <v>1379</v>
      </c>
      <c r="H294" t="s">
        <v>1385</v>
      </c>
      <c r="I294" t="s">
        <v>1390</v>
      </c>
      <c r="J294" t="s">
        <v>1393</v>
      </c>
      <c r="K294" t="s">
        <v>1396</v>
      </c>
      <c r="L294" t="s">
        <v>1451</v>
      </c>
      <c r="M294" s="3">
        <v>1074.76</v>
      </c>
      <c r="N294">
        <v>9</v>
      </c>
      <c r="O294" s="3">
        <v>0.15</v>
      </c>
      <c r="P294" s="3">
        <v>256.58999999999997</v>
      </c>
      <c r="Q294" s="3">
        <f>Table1_1[[#This Row],[Sales]]/Table1_1[[#This Row],[Quantity]]</f>
        <v>119.41777777777777</v>
      </c>
    </row>
    <row r="295" spans="1:17" x14ac:dyDescent="0.3">
      <c r="A295" t="s">
        <v>308</v>
      </c>
      <c r="B295" s="2">
        <f t="shared" si="8"/>
        <v>45248</v>
      </c>
      <c r="C295" t="s">
        <v>1825</v>
      </c>
      <c r="D295" s="2">
        <v>45249</v>
      </c>
      <c r="E295" t="s">
        <v>1361</v>
      </c>
      <c r="F295" t="s">
        <v>1376</v>
      </c>
      <c r="G295" t="s">
        <v>1704</v>
      </c>
      <c r="H295" t="s">
        <v>1386</v>
      </c>
      <c r="I295" t="s">
        <v>1388</v>
      </c>
      <c r="J295" t="s">
        <v>1392</v>
      </c>
      <c r="K295" t="s">
        <v>1397</v>
      </c>
      <c r="L295" t="s">
        <v>1521</v>
      </c>
      <c r="M295" s="3">
        <v>905.22</v>
      </c>
      <c r="N295">
        <v>3</v>
      </c>
      <c r="O295" s="3">
        <v>0.15</v>
      </c>
      <c r="P295" s="3">
        <v>128.27000000000001</v>
      </c>
      <c r="Q295" s="3">
        <f>Table1_1[[#This Row],[Sales]]/Table1_1[[#This Row],[Quantity]]</f>
        <v>301.74</v>
      </c>
    </row>
    <row r="296" spans="1:17" hidden="1" x14ac:dyDescent="0.3">
      <c r="A296" t="s">
        <v>309</v>
      </c>
      <c r="B296" s="2" t="e">
        <f t="shared" si="8"/>
        <v>#VALUE!</v>
      </c>
      <c r="C296" t="s">
        <v>1879</v>
      </c>
      <c r="D296" s="2">
        <v>45403</v>
      </c>
      <c r="E296" t="s">
        <v>1367</v>
      </c>
      <c r="F296" t="s">
        <v>1374</v>
      </c>
      <c r="G296" t="s">
        <v>1379</v>
      </c>
      <c r="H296" t="s">
        <v>1382</v>
      </c>
      <c r="I296" t="s">
        <v>1388</v>
      </c>
      <c r="J296" t="s">
        <v>1392</v>
      </c>
      <c r="K296" t="s">
        <v>1395</v>
      </c>
      <c r="L296" t="s">
        <v>1431</v>
      </c>
      <c r="M296" s="3">
        <v>1044.28</v>
      </c>
      <c r="N296">
        <v>9</v>
      </c>
      <c r="O296" s="3">
        <v>0.1</v>
      </c>
      <c r="P296" s="3">
        <v>178.79</v>
      </c>
      <c r="Q296" s="3">
        <f>Table1_1[[#This Row],[Sales]]/Table1_1[[#This Row],[Quantity]]</f>
        <v>116.0311111111111</v>
      </c>
    </row>
    <row r="297" spans="1:17" x14ac:dyDescent="0.3">
      <c r="A297" t="s">
        <v>310</v>
      </c>
      <c r="B297" s="2">
        <f t="shared" si="8"/>
        <v>44958</v>
      </c>
      <c r="C297" t="s">
        <v>1880</v>
      </c>
      <c r="D297" s="2">
        <v>44965</v>
      </c>
      <c r="E297" t="s">
        <v>1360</v>
      </c>
      <c r="F297" t="s">
        <v>1375</v>
      </c>
      <c r="G297" t="s">
        <v>1379</v>
      </c>
      <c r="H297" t="s">
        <v>1386</v>
      </c>
      <c r="I297" t="s">
        <v>1390</v>
      </c>
      <c r="J297" t="s">
        <v>1393</v>
      </c>
      <c r="K297" t="s">
        <v>1399</v>
      </c>
      <c r="L297" t="s">
        <v>1613</v>
      </c>
      <c r="M297" s="3">
        <v>1159.68</v>
      </c>
      <c r="N297">
        <v>1</v>
      </c>
      <c r="O297" s="3">
        <v>0</v>
      </c>
      <c r="P297" s="3">
        <v>199.27</v>
      </c>
      <c r="Q297" s="3">
        <f>Table1_1[[#This Row],[Sales]]/Table1_1[[#This Row],[Quantity]]</f>
        <v>1159.68</v>
      </c>
    </row>
    <row r="298" spans="1:17" hidden="1" x14ac:dyDescent="0.3">
      <c r="A298" t="s">
        <v>311</v>
      </c>
      <c r="B298" s="2" t="e">
        <f t="shared" si="8"/>
        <v>#VALUE!</v>
      </c>
      <c r="C298" t="s">
        <v>1881</v>
      </c>
      <c r="D298" s="2">
        <v>45308</v>
      </c>
      <c r="E298" t="s">
        <v>1359</v>
      </c>
      <c r="F298" t="s">
        <v>1376</v>
      </c>
      <c r="G298" t="s">
        <v>1379</v>
      </c>
      <c r="H298" t="s">
        <v>1385</v>
      </c>
      <c r="I298" t="s">
        <v>1391</v>
      </c>
      <c r="J298" t="s">
        <v>1394</v>
      </c>
      <c r="K298" t="s">
        <v>1403</v>
      </c>
      <c r="L298" t="s">
        <v>1614</v>
      </c>
      <c r="M298" s="3">
        <v>229.36</v>
      </c>
      <c r="N298">
        <v>2</v>
      </c>
      <c r="O298" s="3">
        <v>0.1</v>
      </c>
      <c r="P298" s="3">
        <v>64.5</v>
      </c>
      <c r="Q298" s="3">
        <f>Table1_1[[#This Row],[Sales]]/Table1_1[[#This Row],[Quantity]]</f>
        <v>114.68</v>
      </c>
    </row>
    <row r="299" spans="1:17" x14ac:dyDescent="0.3">
      <c r="A299" t="s">
        <v>312</v>
      </c>
      <c r="B299" s="2">
        <f t="shared" si="8"/>
        <v>44832</v>
      </c>
      <c r="C299" t="s">
        <v>1882</v>
      </c>
      <c r="D299" s="2">
        <v>44835</v>
      </c>
      <c r="E299" t="s">
        <v>1369</v>
      </c>
      <c r="F299" t="s">
        <v>1376</v>
      </c>
      <c r="G299" t="s">
        <v>1379</v>
      </c>
      <c r="H299" t="s">
        <v>1386</v>
      </c>
      <c r="I299" t="s">
        <v>1391</v>
      </c>
      <c r="J299" t="s">
        <v>1392</v>
      </c>
      <c r="K299" t="s">
        <v>1395</v>
      </c>
      <c r="L299" t="s">
        <v>1615</v>
      </c>
      <c r="M299" s="3">
        <v>1018.3</v>
      </c>
      <c r="N299">
        <v>1</v>
      </c>
      <c r="O299" s="3">
        <v>0.15</v>
      </c>
      <c r="P299" s="3">
        <v>33.770000000000003</v>
      </c>
      <c r="Q299" s="3">
        <f>Table1_1[[#This Row],[Sales]]/Table1_1[[#This Row],[Quantity]]</f>
        <v>1018.3</v>
      </c>
    </row>
    <row r="300" spans="1:17" x14ac:dyDescent="0.3">
      <c r="A300" t="s">
        <v>313</v>
      </c>
      <c r="B300" s="2">
        <f t="shared" si="8"/>
        <v>45370</v>
      </c>
      <c r="C300" t="s">
        <v>1883</v>
      </c>
      <c r="D300" s="2">
        <v>45380</v>
      </c>
      <c r="E300" t="s">
        <v>1359</v>
      </c>
      <c r="F300" t="s">
        <v>1374</v>
      </c>
      <c r="G300" t="s">
        <v>1704</v>
      </c>
      <c r="H300" t="s">
        <v>1385</v>
      </c>
      <c r="I300" t="s">
        <v>1389</v>
      </c>
      <c r="J300" t="s">
        <v>1393</v>
      </c>
      <c r="K300" t="s">
        <v>1399</v>
      </c>
      <c r="L300" t="s">
        <v>1487</v>
      </c>
      <c r="M300" s="3">
        <v>106</v>
      </c>
      <c r="N300">
        <v>6</v>
      </c>
      <c r="O300" s="3">
        <v>0</v>
      </c>
      <c r="P300" s="3">
        <v>-9.5399999999999991</v>
      </c>
      <c r="Q300" s="3">
        <f>Table1_1[[#This Row],[Sales]]/Table1_1[[#This Row],[Quantity]]</f>
        <v>17.666666666666668</v>
      </c>
    </row>
    <row r="301" spans="1:17" hidden="1" x14ac:dyDescent="0.3">
      <c r="A301" t="s">
        <v>314</v>
      </c>
      <c r="B301" s="2" t="e">
        <f t="shared" si="8"/>
        <v>#VALUE!</v>
      </c>
      <c r="C301" t="s">
        <v>1884</v>
      </c>
      <c r="D301" s="2">
        <v>44923</v>
      </c>
      <c r="E301" t="s">
        <v>1360</v>
      </c>
      <c r="F301" t="s">
        <v>1374</v>
      </c>
      <c r="G301" t="s">
        <v>1379</v>
      </c>
      <c r="H301" t="s">
        <v>1381</v>
      </c>
      <c r="I301" t="s">
        <v>1391</v>
      </c>
      <c r="J301" t="s">
        <v>1392</v>
      </c>
      <c r="K301" t="s">
        <v>1395</v>
      </c>
      <c r="L301" t="s">
        <v>1616</v>
      </c>
      <c r="M301" s="3">
        <v>411.62</v>
      </c>
      <c r="N301">
        <v>6</v>
      </c>
      <c r="O301" s="3">
        <v>0.15</v>
      </c>
      <c r="P301" s="3">
        <v>-37.369999999999997</v>
      </c>
      <c r="Q301" s="3">
        <f>Table1_1[[#This Row],[Sales]]/Table1_1[[#This Row],[Quantity]]</f>
        <v>68.603333333333339</v>
      </c>
    </row>
    <row r="302" spans="1:17" x14ac:dyDescent="0.3">
      <c r="A302" t="s">
        <v>315</v>
      </c>
      <c r="B302" s="2">
        <f t="shared" si="8"/>
        <v>44808</v>
      </c>
      <c r="C302" t="s">
        <v>1872</v>
      </c>
      <c r="D302" s="2">
        <v>44818</v>
      </c>
      <c r="E302" t="s">
        <v>1373</v>
      </c>
      <c r="F302" t="s">
        <v>1374</v>
      </c>
      <c r="G302" t="s">
        <v>1379</v>
      </c>
      <c r="H302" t="s">
        <v>1381</v>
      </c>
      <c r="I302" t="s">
        <v>1391</v>
      </c>
      <c r="J302" t="s">
        <v>1393</v>
      </c>
      <c r="K302" t="s">
        <v>1400</v>
      </c>
      <c r="L302" t="s">
        <v>1463</v>
      </c>
      <c r="M302" s="3">
        <v>1151.5</v>
      </c>
      <c r="N302">
        <v>6</v>
      </c>
      <c r="O302" s="3">
        <v>0.2</v>
      </c>
      <c r="P302" s="3">
        <v>297.05</v>
      </c>
      <c r="Q302" s="3">
        <f>Table1_1[[#This Row],[Sales]]/Table1_1[[#This Row],[Quantity]]</f>
        <v>191.91666666666666</v>
      </c>
    </row>
    <row r="303" spans="1:17" x14ac:dyDescent="0.3">
      <c r="A303" t="s">
        <v>316</v>
      </c>
      <c r="B303" s="2">
        <f t="shared" si="8"/>
        <v>45384</v>
      </c>
      <c r="C303" t="s">
        <v>1885</v>
      </c>
      <c r="D303" s="2">
        <v>45393</v>
      </c>
      <c r="E303" t="s">
        <v>1370</v>
      </c>
      <c r="F303" t="s">
        <v>1374</v>
      </c>
      <c r="G303" t="s">
        <v>1379</v>
      </c>
      <c r="H303" t="s">
        <v>1382</v>
      </c>
      <c r="I303" t="s">
        <v>1388</v>
      </c>
      <c r="J303" t="s">
        <v>1394</v>
      </c>
      <c r="K303" t="s">
        <v>1403</v>
      </c>
      <c r="L303" t="s">
        <v>1617</v>
      </c>
      <c r="M303" s="3">
        <v>71.739999999999995</v>
      </c>
      <c r="N303">
        <v>4</v>
      </c>
      <c r="O303" s="3">
        <v>0.15</v>
      </c>
      <c r="P303" s="3">
        <v>4.09</v>
      </c>
      <c r="Q303" s="3">
        <f>Table1_1[[#This Row],[Sales]]/Table1_1[[#This Row],[Quantity]]</f>
        <v>17.934999999999999</v>
      </c>
    </row>
    <row r="304" spans="1:17" hidden="1" x14ac:dyDescent="0.3">
      <c r="A304" t="s">
        <v>317</v>
      </c>
      <c r="B304" s="2" t="e">
        <f t="shared" si="8"/>
        <v>#VALUE!</v>
      </c>
      <c r="C304" t="s">
        <v>1886</v>
      </c>
      <c r="D304" s="2">
        <v>45252</v>
      </c>
      <c r="E304" t="s">
        <v>1365</v>
      </c>
      <c r="F304" t="s">
        <v>1375</v>
      </c>
      <c r="G304" t="s">
        <v>1704</v>
      </c>
      <c r="H304" t="s">
        <v>1381</v>
      </c>
      <c r="I304" t="s">
        <v>1389</v>
      </c>
      <c r="J304" t="s">
        <v>1393</v>
      </c>
      <c r="K304" t="s">
        <v>1399</v>
      </c>
      <c r="L304" t="s">
        <v>1618</v>
      </c>
      <c r="M304" s="3">
        <v>1006.08</v>
      </c>
      <c r="N304">
        <v>4</v>
      </c>
      <c r="O304" s="3">
        <v>0</v>
      </c>
      <c r="P304" s="3">
        <v>215.68</v>
      </c>
      <c r="Q304" s="3">
        <f>Table1_1[[#This Row],[Sales]]/Table1_1[[#This Row],[Quantity]]</f>
        <v>251.52</v>
      </c>
    </row>
    <row r="305" spans="1:17" x14ac:dyDescent="0.3">
      <c r="A305" t="s">
        <v>318</v>
      </c>
      <c r="B305" s="2">
        <f t="shared" si="8"/>
        <v>44901</v>
      </c>
      <c r="C305" t="s">
        <v>1887</v>
      </c>
      <c r="D305" s="2">
        <v>44902</v>
      </c>
      <c r="E305" t="s">
        <v>1372</v>
      </c>
      <c r="F305" t="s">
        <v>1376</v>
      </c>
      <c r="G305" t="s">
        <v>1704</v>
      </c>
      <c r="H305" t="s">
        <v>1382</v>
      </c>
      <c r="I305" t="s">
        <v>1389</v>
      </c>
      <c r="J305" t="s">
        <v>1392</v>
      </c>
      <c r="K305" t="s">
        <v>1401</v>
      </c>
      <c r="L305" t="s">
        <v>1619</v>
      </c>
      <c r="M305" s="3">
        <v>84.04</v>
      </c>
      <c r="N305">
        <v>5</v>
      </c>
      <c r="O305" s="3">
        <v>0</v>
      </c>
      <c r="P305" s="3">
        <v>-13.85</v>
      </c>
      <c r="Q305" s="3">
        <f>Table1_1[[#This Row],[Sales]]/Table1_1[[#This Row],[Quantity]]</f>
        <v>16.808</v>
      </c>
    </row>
    <row r="306" spans="1:17" hidden="1" x14ac:dyDescent="0.3">
      <c r="A306" t="s">
        <v>319</v>
      </c>
      <c r="B306" s="2" t="e">
        <f t="shared" si="8"/>
        <v>#VALUE!</v>
      </c>
      <c r="C306" t="s">
        <v>1873</v>
      </c>
      <c r="D306" s="2">
        <v>44886</v>
      </c>
      <c r="E306" t="s">
        <v>1359</v>
      </c>
      <c r="F306" t="s">
        <v>1374</v>
      </c>
      <c r="G306" t="s">
        <v>1379</v>
      </c>
      <c r="H306" t="s">
        <v>1384</v>
      </c>
      <c r="I306" t="s">
        <v>1388</v>
      </c>
      <c r="J306" t="s">
        <v>1394</v>
      </c>
      <c r="K306" t="s">
        <v>1398</v>
      </c>
      <c r="L306" t="s">
        <v>1492</v>
      </c>
      <c r="M306" s="3">
        <v>159.6</v>
      </c>
      <c r="N306">
        <v>1</v>
      </c>
      <c r="O306" s="3">
        <v>0</v>
      </c>
      <c r="P306" s="3">
        <v>-26.87</v>
      </c>
      <c r="Q306" s="3">
        <f>Table1_1[[#This Row],[Sales]]/Table1_1[[#This Row],[Quantity]]</f>
        <v>159.6</v>
      </c>
    </row>
    <row r="307" spans="1:17" hidden="1" x14ac:dyDescent="0.3">
      <c r="A307" t="s">
        <v>320</v>
      </c>
      <c r="B307" s="2" t="e">
        <f t="shared" si="8"/>
        <v>#VALUE!</v>
      </c>
      <c r="C307" t="s">
        <v>1888</v>
      </c>
      <c r="D307" s="2">
        <v>45372</v>
      </c>
      <c r="E307" t="s">
        <v>1366</v>
      </c>
      <c r="F307" t="s">
        <v>1375</v>
      </c>
      <c r="G307" t="s">
        <v>1704</v>
      </c>
      <c r="H307" t="s">
        <v>1387</v>
      </c>
      <c r="I307" t="s">
        <v>1389</v>
      </c>
      <c r="J307" t="s">
        <v>1393</v>
      </c>
      <c r="K307" t="s">
        <v>1400</v>
      </c>
      <c r="L307" t="s">
        <v>1413</v>
      </c>
      <c r="M307" s="3">
        <v>352.19</v>
      </c>
      <c r="N307">
        <v>8</v>
      </c>
      <c r="O307" s="3">
        <v>0.2</v>
      </c>
      <c r="P307" s="3">
        <v>-0.86</v>
      </c>
      <c r="Q307" s="3">
        <f>Table1_1[[#This Row],[Sales]]/Table1_1[[#This Row],[Quantity]]</f>
        <v>44.02375</v>
      </c>
    </row>
    <row r="308" spans="1:17" hidden="1" x14ac:dyDescent="0.3">
      <c r="A308" t="s">
        <v>321</v>
      </c>
      <c r="B308" s="2" t="e">
        <f t="shared" si="8"/>
        <v>#VALUE!</v>
      </c>
      <c r="C308" t="s">
        <v>1889</v>
      </c>
      <c r="D308" s="2">
        <v>44867</v>
      </c>
      <c r="E308" t="s">
        <v>1363</v>
      </c>
      <c r="F308" t="s">
        <v>1375</v>
      </c>
      <c r="G308" t="s">
        <v>1379</v>
      </c>
      <c r="H308" t="s">
        <v>1383</v>
      </c>
      <c r="I308" t="s">
        <v>1389</v>
      </c>
      <c r="J308" t="s">
        <v>1394</v>
      </c>
      <c r="K308" t="s">
        <v>1398</v>
      </c>
      <c r="L308" t="s">
        <v>1408</v>
      </c>
      <c r="M308" s="3">
        <v>1066.6300000000001</v>
      </c>
      <c r="N308">
        <v>6</v>
      </c>
      <c r="O308" s="3">
        <v>0</v>
      </c>
      <c r="P308" s="3">
        <v>81.88</v>
      </c>
      <c r="Q308" s="3">
        <f>Table1_1[[#This Row],[Sales]]/Table1_1[[#This Row],[Quantity]]</f>
        <v>177.77166666666668</v>
      </c>
    </row>
    <row r="309" spans="1:17" hidden="1" x14ac:dyDescent="0.3">
      <c r="A309" t="s">
        <v>322</v>
      </c>
      <c r="B309" s="2" t="e">
        <f t="shared" si="8"/>
        <v>#VALUE!</v>
      </c>
      <c r="C309" t="s">
        <v>1890</v>
      </c>
      <c r="D309" s="2">
        <v>45124</v>
      </c>
      <c r="E309" t="s">
        <v>1359</v>
      </c>
      <c r="F309" t="s">
        <v>1375</v>
      </c>
      <c r="G309" t="s">
        <v>1704</v>
      </c>
      <c r="H309" t="s">
        <v>1387</v>
      </c>
      <c r="I309" t="s">
        <v>1391</v>
      </c>
      <c r="J309" t="s">
        <v>1394</v>
      </c>
      <c r="K309" t="s">
        <v>1402</v>
      </c>
      <c r="L309" t="s">
        <v>1461</v>
      </c>
      <c r="M309" s="3">
        <v>902.99</v>
      </c>
      <c r="N309">
        <v>6</v>
      </c>
      <c r="O309" s="3">
        <v>0.1</v>
      </c>
      <c r="P309" s="3">
        <v>5.71</v>
      </c>
      <c r="Q309" s="3">
        <f>Table1_1[[#This Row],[Sales]]/Table1_1[[#This Row],[Quantity]]</f>
        <v>150.49833333333333</v>
      </c>
    </row>
    <row r="310" spans="1:17" x14ac:dyDescent="0.3">
      <c r="A310" t="s">
        <v>323</v>
      </c>
      <c r="B310" s="2">
        <f t="shared" si="8"/>
        <v>44679</v>
      </c>
      <c r="C310" t="s">
        <v>1891</v>
      </c>
      <c r="D310" s="2">
        <v>44682</v>
      </c>
      <c r="E310" t="s">
        <v>1362</v>
      </c>
      <c r="F310" t="s">
        <v>1375</v>
      </c>
      <c r="G310" t="s">
        <v>1379</v>
      </c>
      <c r="H310" t="s">
        <v>1381</v>
      </c>
      <c r="I310" t="s">
        <v>1390</v>
      </c>
      <c r="J310" t="s">
        <v>1393</v>
      </c>
      <c r="K310" t="s">
        <v>1396</v>
      </c>
      <c r="L310" t="s">
        <v>1620</v>
      </c>
      <c r="M310" s="3">
        <v>1025.6600000000001</v>
      </c>
      <c r="N310">
        <v>9</v>
      </c>
      <c r="O310" s="3">
        <v>0.2</v>
      </c>
      <c r="P310" s="3">
        <v>125.48</v>
      </c>
      <c r="Q310" s="3">
        <f>Table1_1[[#This Row],[Sales]]/Table1_1[[#This Row],[Quantity]]</f>
        <v>113.96222222222224</v>
      </c>
    </row>
    <row r="311" spans="1:17" x14ac:dyDescent="0.3">
      <c r="A311" t="s">
        <v>324</v>
      </c>
      <c r="B311" s="2">
        <f t="shared" si="8"/>
        <v>45156</v>
      </c>
      <c r="C311" t="s">
        <v>1892</v>
      </c>
      <c r="D311" s="2">
        <v>45164</v>
      </c>
      <c r="E311" t="s">
        <v>1368</v>
      </c>
      <c r="F311" t="s">
        <v>1376</v>
      </c>
      <c r="G311" t="s">
        <v>1704</v>
      </c>
      <c r="H311" t="s">
        <v>1384</v>
      </c>
      <c r="I311" t="s">
        <v>1391</v>
      </c>
      <c r="J311" t="s">
        <v>1394</v>
      </c>
      <c r="K311" t="s">
        <v>1403</v>
      </c>
      <c r="L311" t="s">
        <v>1621</v>
      </c>
      <c r="M311" s="3">
        <v>171.29</v>
      </c>
      <c r="N311">
        <v>4</v>
      </c>
      <c r="O311" s="3">
        <v>0</v>
      </c>
      <c r="P311" s="3">
        <v>-9.84</v>
      </c>
      <c r="Q311" s="3">
        <f>Table1_1[[#This Row],[Sales]]/Table1_1[[#This Row],[Quantity]]</f>
        <v>42.822499999999998</v>
      </c>
    </row>
    <row r="312" spans="1:17" x14ac:dyDescent="0.3">
      <c r="A312" t="s">
        <v>325</v>
      </c>
      <c r="B312" s="2">
        <f t="shared" si="8"/>
        <v>45160</v>
      </c>
      <c r="C312" t="s">
        <v>809</v>
      </c>
      <c r="D312" s="2">
        <v>45163</v>
      </c>
      <c r="E312" t="s">
        <v>1363</v>
      </c>
      <c r="F312" t="s">
        <v>1374</v>
      </c>
      <c r="G312" t="s">
        <v>1704</v>
      </c>
      <c r="H312" t="s">
        <v>1384</v>
      </c>
      <c r="I312" t="s">
        <v>1391</v>
      </c>
      <c r="J312" t="s">
        <v>1393</v>
      </c>
      <c r="K312" t="s">
        <v>1396</v>
      </c>
      <c r="L312" t="s">
        <v>1598</v>
      </c>
      <c r="M312" s="3">
        <v>450.1</v>
      </c>
      <c r="N312">
        <v>6</v>
      </c>
      <c r="O312" s="3">
        <v>0.2</v>
      </c>
      <c r="P312" s="3">
        <v>-52.07</v>
      </c>
      <c r="Q312" s="3">
        <f>Table1_1[[#This Row],[Sales]]/Table1_1[[#This Row],[Quantity]]</f>
        <v>75.016666666666666</v>
      </c>
    </row>
    <row r="313" spans="1:17" x14ac:dyDescent="0.3">
      <c r="A313" t="s">
        <v>326</v>
      </c>
      <c r="B313" s="2">
        <f t="shared" si="8"/>
        <v>45257</v>
      </c>
      <c r="C313" t="s">
        <v>1893</v>
      </c>
      <c r="D313" s="2">
        <v>45263</v>
      </c>
      <c r="E313" t="s">
        <v>1359</v>
      </c>
      <c r="F313" t="s">
        <v>1376</v>
      </c>
      <c r="G313" t="s">
        <v>1704</v>
      </c>
      <c r="H313" t="s">
        <v>1383</v>
      </c>
      <c r="I313" t="s">
        <v>1390</v>
      </c>
      <c r="J313" t="s">
        <v>1394</v>
      </c>
      <c r="K313" t="s">
        <v>1403</v>
      </c>
      <c r="L313" t="s">
        <v>1622</v>
      </c>
      <c r="M313" s="3">
        <v>545.52</v>
      </c>
      <c r="N313">
        <v>5</v>
      </c>
      <c r="O313" s="3">
        <v>0.2</v>
      </c>
      <c r="P313" s="3">
        <v>41.37</v>
      </c>
      <c r="Q313" s="3">
        <f>Table1_1[[#This Row],[Sales]]/Table1_1[[#This Row],[Quantity]]</f>
        <v>109.104</v>
      </c>
    </row>
    <row r="314" spans="1:17" hidden="1" x14ac:dyDescent="0.3">
      <c r="A314" t="s">
        <v>327</v>
      </c>
      <c r="B314" s="2" t="e">
        <f t="shared" si="8"/>
        <v>#VALUE!</v>
      </c>
      <c r="C314" t="s">
        <v>1894</v>
      </c>
      <c r="D314" s="2">
        <v>45315</v>
      </c>
      <c r="E314" t="s">
        <v>1365</v>
      </c>
      <c r="F314" t="s">
        <v>1375</v>
      </c>
      <c r="G314" t="s">
        <v>1379</v>
      </c>
      <c r="H314" t="s">
        <v>1383</v>
      </c>
      <c r="I314" t="s">
        <v>1391</v>
      </c>
      <c r="J314" t="s">
        <v>1393</v>
      </c>
      <c r="K314" t="s">
        <v>1400</v>
      </c>
      <c r="L314" t="s">
        <v>1413</v>
      </c>
      <c r="M314" s="3">
        <v>1072.68</v>
      </c>
      <c r="N314">
        <v>9</v>
      </c>
      <c r="O314" s="3">
        <v>0</v>
      </c>
      <c r="P314" s="3">
        <v>221.32</v>
      </c>
      <c r="Q314" s="3">
        <f>Table1_1[[#This Row],[Sales]]/Table1_1[[#This Row],[Quantity]]</f>
        <v>119.18666666666667</v>
      </c>
    </row>
    <row r="315" spans="1:17" x14ac:dyDescent="0.3">
      <c r="A315" t="s">
        <v>328</v>
      </c>
      <c r="B315" s="2">
        <f t="shared" si="8"/>
        <v>45114</v>
      </c>
      <c r="C315" t="s">
        <v>812</v>
      </c>
      <c r="D315" s="2">
        <v>45122</v>
      </c>
      <c r="E315" t="s">
        <v>1368</v>
      </c>
      <c r="F315" t="s">
        <v>1374</v>
      </c>
      <c r="G315" t="s">
        <v>1379</v>
      </c>
      <c r="H315" t="s">
        <v>1385</v>
      </c>
      <c r="I315" t="s">
        <v>1391</v>
      </c>
      <c r="J315" t="s">
        <v>1393</v>
      </c>
      <c r="K315" t="s">
        <v>1400</v>
      </c>
      <c r="L315" t="s">
        <v>1463</v>
      </c>
      <c r="M315" s="3">
        <v>451.67</v>
      </c>
      <c r="N315">
        <v>4</v>
      </c>
      <c r="O315" s="3">
        <v>0</v>
      </c>
      <c r="P315" s="3">
        <v>75.25</v>
      </c>
      <c r="Q315" s="3">
        <f>Table1_1[[#This Row],[Sales]]/Table1_1[[#This Row],[Quantity]]</f>
        <v>112.9175</v>
      </c>
    </row>
    <row r="316" spans="1:17" x14ac:dyDescent="0.3">
      <c r="A316" t="s">
        <v>329</v>
      </c>
      <c r="B316" s="2">
        <f t="shared" si="8"/>
        <v>44572</v>
      </c>
      <c r="C316" t="s">
        <v>1895</v>
      </c>
      <c r="D316" s="2">
        <v>44576</v>
      </c>
      <c r="E316" t="s">
        <v>1364</v>
      </c>
      <c r="F316" t="s">
        <v>1374</v>
      </c>
      <c r="G316" t="s">
        <v>1704</v>
      </c>
      <c r="H316" t="s">
        <v>1382</v>
      </c>
      <c r="I316" t="s">
        <v>1389</v>
      </c>
      <c r="J316" t="s">
        <v>1393</v>
      </c>
      <c r="K316" t="s">
        <v>1396</v>
      </c>
      <c r="L316" t="s">
        <v>1563</v>
      </c>
      <c r="M316" s="3">
        <v>215.7</v>
      </c>
      <c r="N316">
        <v>9</v>
      </c>
      <c r="O316" s="3">
        <v>0.1</v>
      </c>
      <c r="P316" s="3">
        <v>4.9800000000000004</v>
      </c>
      <c r="Q316" s="3">
        <f>Table1_1[[#This Row],[Sales]]/Table1_1[[#This Row],[Quantity]]</f>
        <v>23.966666666666665</v>
      </c>
    </row>
    <row r="317" spans="1:17" x14ac:dyDescent="0.3">
      <c r="A317" t="s">
        <v>330</v>
      </c>
      <c r="B317" s="2">
        <f t="shared" si="8"/>
        <v>44603</v>
      </c>
      <c r="C317" t="s">
        <v>1896</v>
      </c>
      <c r="D317" s="2">
        <v>44607</v>
      </c>
      <c r="E317" t="s">
        <v>1360</v>
      </c>
      <c r="F317" t="s">
        <v>1376</v>
      </c>
      <c r="G317" t="s">
        <v>1704</v>
      </c>
      <c r="H317" t="s">
        <v>1385</v>
      </c>
      <c r="I317" t="s">
        <v>1388</v>
      </c>
      <c r="J317" t="s">
        <v>1394</v>
      </c>
      <c r="K317" t="s">
        <v>1402</v>
      </c>
      <c r="L317" t="s">
        <v>1623</v>
      </c>
      <c r="M317" s="3">
        <v>94.18</v>
      </c>
      <c r="N317">
        <v>6</v>
      </c>
      <c r="O317" s="3">
        <v>0.1</v>
      </c>
      <c r="P317" s="3">
        <v>-16.82</v>
      </c>
      <c r="Q317" s="3">
        <f>Table1_1[[#This Row],[Sales]]/Table1_1[[#This Row],[Quantity]]</f>
        <v>15.696666666666667</v>
      </c>
    </row>
    <row r="318" spans="1:17" hidden="1" x14ac:dyDescent="0.3">
      <c r="A318" t="s">
        <v>331</v>
      </c>
      <c r="B318" s="2" t="e">
        <f t="shared" si="8"/>
        <v>#VALUE!</v>
      </c>
      <c r="C318" t="s">
        <v>1830</v>
      </c>
      <c r="D318" s="2">
        <v>45232</v>
      </c>
      <c r="E318" t="s">
        <v>1368</v>
      </c>
      <c r="F318" t="s">
        <v>1374</v>
      </c>
      <c r="G318" t="s">
        <v>1704</v>
      </c>
      <c r="H318" t="s">
        <v>1384</v>
      </c>
      <c r="I318" t="s">
        <v>1388</v>
      </c>
      <c r="J318" t="s">
        <v>1392</v>
      </c>
      <c r="K318" t="s">
        <v>1395</v>
      </c>
      <c r="L318" t="s">
        <v>1624</v>
      </c>
      <c r="M318" s="3">
        <v>1162.76</v>
      </c>
      <c r="N318">
        <v>5</v>
      </c>
      <c r="O318" s="3">
        <v>0.15</v>
      </c>
      <c r="P318" s="3">
        <v>103.85</v>
      </c>
      <c r="Q318" s="3">
        <f>Table1_1[[#This Row],[Sales]]/Table1_1[[#This Row],[Quantity]]</f>
        <v>232.55199999999999</v>
      </c>
    </row>
    <row r="319" spans="1:17" hidden="1" x14ac:dyDescent="0.3">
      <c r="A319" t="s">
        <v>332</v>
      </c>
      <c r="B319" s="2" t="e">
        <f t="shared" si="8"/>
        <v>#VALUE!</v>
      </c>
      <c r="C319" t="s">
        <v>1897</v>
      </c>
      <c r="D319" s="2">
        <v>44826</v>
      </c>
      <c r="E319" t="s">
        <v>1361</v>
      </c>
      <c r="F319" t="s">
        <v>1375</v>
      </c>
      <c r="G319" t="s">
        <v>1704</v>
      </c>
      <c r="H319" t="s">
        <v>1387</v>
      </c>
      <c r="I319" t="s">
        <v>1390</v>
      </c>
      <c r="J319" t="s">
        <v>1392</v>
      </c>
      <c r="K319" t="s">
        <v>1395</v>
      </c>
      <c r="L319" t="s">
        <v>1414</v>
      </c>
      <c r="M319" s="3">
        <v>498.89</v>
      </c>
      <c r="N319">
        <v>6</v>
      </c>
      <c r="O319" s="3">
        <v>0.2</v>
      </c>
      <c r="P319" s="3">
        <v>97.95</v>
      </c>
      <c r="Q319" s="3">
        <f>Table1_1[[#This Row],[Sales]]/Table1_1[[#This Row],[Quantity]]</f>
        <v>83.148333333333326</v>
      </c>
    </row>
    <row r="320" spans="1:17" x14ac:dyDescent="0.3">
      <c r="A320" t="s">
        <v>333</v>
      </c>
      <c r="B320" s="2">
        <f t="shared" si="8"/>
        <v>45088</v>
      </c>
      <c r="C320" t="s">
        <v>1898</v>
      </c>
      <c r="D320" s="2">
        <v>45093</v>
      </c>
      <c r="E320" t="s">
        <v>1368</v>
      </c>
      <c r="F320" t="s">
        <v>1376</v>
      </c>
      <c r="G320" t="s">
        <v>1379</v>
      </c>
      <c r="H320" t="s">
        <v>1385</v>
      </c>
      <c r="I320" t="s">
        <v>1389</v>
      </c>
      <c r="J320" t="s">
        <v>1392</v>
      </c>
      <c r="K320" t="s">
        <v>1401</v>
      </c>
      <c r="L320" t="s">
        <v>1625</v>
      </c>
      <c r="M320" s="3">
        <v>240.55</v>
      </c>
      <c r="N320">
        <v>6</v>
      </c>
      <c r="O320" s="3">
        <v>0</v>
      </c>
      <c r="P320" s="3">
        <v>38.159999999999997</v>
      </c>
      <c r="Q320" s="3">
        <f>Table1_1[[#This Row],[Sales]]/Table1_1[[#This Row],[Quantity]]</f>
        <v>40.091666666666669</v>
      </c>
    </row>
    <row r="321" spans="1:17" x14ac:dyDescent="0.3">
      <c r="A321" t="s">
        <v>334</v>
      </c>
      <c r="B321" s="2">
        <f t="shared" si="8"/>
        <v>44659</v>
      </c>
      <c r="C321" t="s">
        <v>1899</v>
      </c>
      <c r="D321" s="2">
        <v>44787</v>
      </c>
      <c r="E321" t="s">
        <v>1359</v>
      </c>
      <c r="F321" t="s">
        <v>1375</v>
      </c>
      <c r="G321" t="s">
        <v>1379</v>
      </c>
      <c r="H321" t="s">
        <v>1383</v>
      </c>
      <c r="I321" t="s">
        <v>1390</v>
      </c>
      <c r="J321" t="s">
        <v>1392</v>
      </c>
      <c r="K321" t="s">
        <v>1395</v>
      </c>
      <c r="L321" t="s">
        <v>1566</v>
      </c>
      <c r="M321" s="3">
        <v>1003.37</v>
      </c>
      <c r="N321">
        <v>1</v>
      </c>
      <c r="O321" s="3">
        <v>0.1</v>
      </c>
      <c r="P321" s="3">
        <v>-179.03</v>
      </c>
      <c r="Q321" s="3">
        <f>Table1_1[[#This Row],[Sales]]/Table1_1[[#This Row],[Quantity]]</f>
        <v>1003.37</v>
      </c>
    </row>
    <row r="322" spans="1:17" hidden="1" x14ac:dyDescent="0.3">
      <c r="A322" t="s">
        <v>335</v>
      </c>
      <c r="B322" s="2" t="e">
        <f t="shared" ref="B322:B385" si="9">DATEVALUE(C322)</f>
        <v>#VALUE!</v>
      </c>
      <c r="C322" t="s">
        <v>1900</v>
      </c>
      <c r="D322" s="2">
        <v>44737</v>
      </c>
      <c r="E322" t="s">
        <v>1371</v>
      </c>
      <c r="F322" t="s">
        <v>1375</v>
      </c>
      <c r="G322" t="s">
        <v>1704</v>
      </c>
      <c r="H322" t="s">
        <v>1383</v>
      </c>
      <c r="I322" t="s">
        <v>1389</v>
      </c>
      <c r="J322" t="s">
        <v>1392</v>
      </c>
      <c r="K322" t="s">
        <v>1395</v>
      </c>
      <c r="L322" t="s">
        <v>1626</v>
      </c>
      <c r="M322" s="3">
        <v>1150.72</v>
      </c>
      <c r="N322">
        <v>10</v>
      </c>
      <c r="O322" s="3">
        <v>0</v>
      </c>
      <c r="P322" s="3">
        <v>136.72</v>
      </c>
      <c r="Q322" s="3">
        <f>Table1_1[[#This Row],[Sales]]/Table1_1[[#This Row],[Quantity]]</f>
        <v>115.072</v>
      </c>
    </row>
    <row r="323" spans="1:17" hidden="1" x14ac:dyDescent="0.3">
      <c r="A323" t="s">
        <v>336</v>
      </c>
      <c r="B323" s="2" t="e">
        <f t="shared" si="9"/>
        <v>#VALUE!</v>
      </c>
      <c r="C323" t="s">
        <v>1849</v>
      </c>
      <c r="D323" s="2">
        <v>44740</v>
      </c>
      <c r="E323" t="s">
        <v>1371</v>
      </c>
      <c r="F323" t="s">
        <v>1374</v>
      </c>
      <c r="G323" t="s">
        <v>1379</v>
      </c>
      <c r="H323" t="s">
        <v>1385</v>
      </c>
      <c r="I323" t="s">
        <v>1388</v>
      </c>
      <c r="J323" t="s">
        <v>1394</v>
      </c>
      <c r="K323" t="s">
        <v>1398</v>
      </c>
      <c r="L323" t="s">
        <v>1627</v>
      </c>
      <c r="M323" s="3">
        <v>188.4</v>
      </c>
      <c r="N323">
        <v>10</v>
      </c>
      <c r="O323" s="3">
        <v>0.1</v>
      </c>
      <c r="P323" s="3">
        <v>21.03</v>
      </c>
      <c r="Q323" s="3">
        <f>Table1_1[[#This Row],[Sales]]/Table1_1[[#This Row],[Quantity]]</f>
        <v>18.84</v>
      </c>
    </row>
    <row r="324" spans="1:17" x14ac:dyDescent="0.3">
      <c r="A324" t="s">
        <v>337</v>
      </c>
      <c r="B324" s="2">
        <f t="shared" si="9"/>
        <v>44949</v>
      </c>
      <c r="C324" t="s">
        <v>1901</v>
      </c>
      <c r="D324" s="2">
        <v>44956</v>
      </c>
      <c r="E324" t="s">
        <v>1359</v>
      </c>
      <c r="F324" t="s">
        <v>1375</v>
      </c>
      <c r="G324" t="s">
        <v>1704</v>
      </c>
      <c r="H324" t="s">
        <v>1383</v>
      </c>
      <c r="I324" t="s">
        <v>1388</v>
      </c>
      <c r="J324" t="s">
        <v>1392</v>
      </c>
      <c r="K324" t="s">
        <v>1401</v>
      </c>
      <c r="L324" t="s">
        <v>1531</v>
      </c>
      <c r="M324" s="3">
        <v>39.54</v>
      </c>
      <c r="N324">
        <v>9</v>
      </c>
      <c r="O324" s="3">
        <v>0</v>
      </c>
      <c r="P324" s="3">
        <v>5.62</v>
      </c>
      <c r="Q324" s="3">
        <f>Table1_1[[#This Row],[Sales]]/Table1_1[[#This Row],[Quantity]]</f>
        <v>4.3933333333333335</v>
      </c>
    </row>
    <row r="325" spans="1:17" hidden="1" x14ac:dyDescent="0.3">
      <c r="A325" t="s">
        <v>338</v>
      </c>
      <c r="B325" s="2" t="e">
        <f t="shared" si="9"/>
        <v>#VALUE!</v>
      </c>
      <c r="C325" t="s">
        <v>1902</v>
      </c>
      <c r="D325" s="2">
        <v>45079</v>
      </c>
      <c r="E325" t="s">
        <v>1365</v>
      </c>
      <c r="F325" t="s">
        <v>1376</v>
      </c>
      <c r="G325" t="s">
        <v>1379</v>
      </c>
      <c r="H325" t="s">
        <v>1386</v>
      </c>
      <c r="I325" t="s">
        <v>1388</v>
      </c>
      <c r="J325" t="s">
        <v>1392</v>
      </c>
      <c r="K325" t="s">
        <v>1397</v>
      </c>
      <c r="L325" t="s">
        <v>1628</v>
      </c>
      <c r="M325" s="3">
        <v>798.08</v>
      </c>
      <c r="N325">
        <v>10</v>
      </c>
      <c r="O325" s="3">
        <v>0</v>
      </c>
      <c r="P325" s="3">
        <v>170.6</v>
      </c>
      <c r="Q325" s="3">
        <f>Table1_1[[#This Row],[Sales]]/Table1_1[[#This Row],[Quantity]]</f>
        <v>79.808000000000007</v>
      </c>
    </row>
    <row r="326" spans="1:17" hidden="1" x14ac:dyDescent="0.3">
      <c r="A326" t="s">
        <v>339</v>
      </c>
      <c r="B326" s="2" t="e">
        <f t="shared" si="9"/>
        <v>#VALUE!</v>
      </c>
      <c r="C326" t="s">
        <v>1903</v>
      </c>
      <c r="D326" s="2">
        <v>45111</v>
      </c>
      <c r="E326" t="s">
        <v>1359</v>
      </c>
      <c r="F326" t="s">
        <v>1376</v>
      </c>
      <c r="G326" t="s">
        <v>1704</v>
      </c>
      <c r="H326" t="s">
        <v>1384</v>
      </c>
      <c r="I326" t="s">
        <v>1389</v>
      </c>
      <c r="J326" t="s">
        <v>1392</v>
      </c>
      <c r="K326" t="s">
        <v>1397</v>
      </c>
      <c r="L326" t="s">
        <v>1504</v>
      </c>
      <c r="M326" s="3">
        <v>951.68</v>
      </c>
      <c r="N326">
        <v>7</v>
      </c>
      <c r="O326" s="3">
        <v>0.15</v>
      </c>
      <c r="P326" s="3">
        <v>89.96</v>
      </c>
      <c r="Q326" s="3">
        <f>Table1_1[[#This Row],[Sales]]/Table1_1[[#This Row],[Quantity]]</f>
        <v>135.9542857142857</v>
      </c>
    </row>
    <row r="327" spans="1:17" hidden="1" x14ac:dyDescent="0.3">
      <c r="A327" t="s">
        <v>340</v>
      </c>
      <c r="B327" s="2" t="e">
        <f t="shared" si="9"/>
        <v>#VALUE!</v>
      </c>
      <c r="C327" t="s">
        <v>1904</v>
      </c>
      <c r="D327" s="2">
        <v>44802</v>
      </c>
      <c r="E327" t="s">
        <v>1361</v>
      </c>
      <c r="F327" t="s">
        <v>1374</v>
      </c>
      <c r="G327" t="s">
        <v>1379</v>
      </c>
      <c r="H327" t="s">
        <v>1383</v>
      </c>
      <c r="I327" t="s">
        <v>1388</v>
      </c>
      <c r="J327" t="s">
        <v>1394</v>
      </c>
      <c r="K327" t="s">
        <v>1398</v>
      </c>
      <c r="L327" t="s">
        <v>1578</v>
      </c>
      <c r="M327" s="3">
        <v>1054.58</v>
      </c>
      <c r="N327">
        <v>7</v>
      </c>
      <c r="O327" s="3">
        <v>0.15</v>
      </c>
      <c r="P327" s="3">
        <v>-111.25</v>
      </c>
      <c r="Q327" s="3">
        <f>Table1_1[[#This Row],[Sales]]/Table1_1[[#This Row],[Quantity]]</f>
        <v>150.65428571428569</v>
      </c>
    </row>
    <row r="328" spans="1:17" x14ac:dyDescent="0.3">
      <c r="A328" t="s">
        <v>341</v>
      </c>
      <c r="B328" s="2">
        <f t="shared" si="9"/>
        <v>44968</v>
      </c>
      <c r="C328" t="s">
        <v>1905</v>
      </c>
      <c r="D328" s="2">
        <v>45236</v>
      </c>
      <c r="E328" t="s">
        <v>1372</v>
      </c>
      <c r="F328" t="s">
        <v>1374</v>
      </c>
      <c r="G328" t="s">
        <v>1704</v>
      </c>
      <c r="H328" t="s">
        <v>1383</v>
      </c>
      <c r="I328" t="s">
        <v>1391</v>
      </c>
      <c r="J328" t="s">
        <v>1393</v>
      </c>
      <c r="K328" t="s">
        <v>1399</v>
      </c>
      <c r="L328" t="s">
        <v>1581</v>
      </c>
      <c r="M328" s="3">
        <v>502.44</v>
      </c>
      <c r="N328">
        <v>2</v>
      </c>
      <c r="O328" s="3">
        <v>0.1</v>
      </c>
      <c r="P328" s="3">
        <v>6.55</v>
      </c>
      <c r="Q328" s="3">
        <f>Table1_1[[#This Row],[Sales]]/Table1_1[[#This Row],[Quantity]]</f>
        <v>251.22</v>
      </c>
    </row>
    <row r="329" spans="1:17" x14ac:dyDescent="0.3">
      <c r="A329" t="s">
        <v>342</v>
      </c>
      <c r="B329" s="2">
        <f t="shared" si="9"/>
        <v>44844</v>
      </c>
      <c r="C329" t="s">
        <v>1906</v>
      </c>
      <c r="D329" s="2">
        <v>44851</v>
      </c>
      <c r="E329" t="s">
        <v>1360</v>
      </c>
      <c r="F329" t="s">
        <v>1376</v>
      </c>
      <c r="G329" t="s">
        <v>1379</v>
      </c>
      <c r="H329" t="s">
        <v>1383</v>
      </c>
      <c r="I329" t="s">
        <v>1391</v>
      </c>
      <c r="J329" t="s">
        <v>1392</v>
      </c>
      <c r="K329" t="s">
        <v>1397</v>
      </c>
      <c r="L329" t="s">
        <v>1504</v>
      </c>
      <c r="M329" s="3">
        <v>671.48</v>
      </c>
      <c r="N329">
        <v>9</v>
      </c>
      <c r="O329" s="3">
        <v>0.2</v>
      </c>
      <c r="P329" s="3">
        <v>-74.290000000000006</v>
      </c>
      <c r="Q329" s="3">
        <f>Table1_1[[#This Row],[Sales]]/Table1_1[[#This Row],[Quantity]]</f>
        <v>74.608888888888885</v>
      </c>
    </row>
    <row r="330" spans="1:17" hidden="1" x14ac:dyDescent="0.3">
      <c r="A330" t="s">
        <v>343</v>
      </c>
      <c r="B330" s="2" t="e">
        <f t="shared" si="9"/>
        <v>#VALUE!</v>
      </c>
      <c r="C330" t="s">
        <v>1907</v>
      </c>
      <c r="D330" s="2">
        <v>45291</v>
      </c>
      <c r="E330" t="s">
        <v>1363</v>
      </c>
      <c r="F330" t="s">
        <v>1375</v>
      </c>
      <c r="G330" t="s">
        <v>1704</v>
      </c>
      <c r="H330" t="s">
        <v>1386</v>
      </c>
      <c r="I330" t="s">
        <v>1391</v>
      </c>
      <c r="J330" t="s">
        <v>1393</v>
      </c>
      <c r="K330" t="s">
        <v>1400</v>
      </c>
      <c r="L330" t="s">
        <v>1629</v>
      </c>
      <c r="M330" s="3">
        <v>1028.9000000000001</v>
      </c>
      <c r="N330">
        <v>2</v>
      </c>
      <c r="O330" s="3">
        <v>0.1</v>
      </c>
      <c r="P330" s="3">
        <v>23.97</v>
      </c>
      <c r="Q330" s="3">
        <f>Table1_1[[#This Row],[Sales]]/Table1_1[[#This Row],[Quantity]]</f>
        <v>514.45000000000005</v>
      </c>
    </row>
    <row r="331" spans="1:17" x14ac:dyDescent="0.3">
      <c r="A331" t="s">
        <v>344</v>
      </c>
      <c r="B331" s="2">
        <f t="shared" si="9"/>
        <v>45190</v>
      </c>
      <c r="C331" t="s">
        <v>826</v>
      </c>
      <c r="D331" s="2">
        <v>45191</v>
      </c>
      <c r="E331" t="s">
        <v>1360</v>
      </c>
      <c r="F331" t="s">
        <v>1375</v>
      </c>
      <c r="G331" t="s">
        <v>1379</v>
      </c>
      <c r="H331" t="s">
        <v>1384</v>
      </c>
      <c r="I331" t="s">
        <v>1390</v>
      </c>
      <c r="J331" t="s">
        <v>1392</v>
      </c>
      <c r="K331" t="s">
        <v>1397</v>
      </c>
      <c r="L331" t="s">
        <v>1630</v>
      </c>
      <c r="M331" s="3">
        <v>1158.19</v>
      </c>
      <c r="N331">
        <v>1</v>
      </c>
      <c r="O331" s="3">
        <v>0</v>
      </c>
      <c r="P331" s="3">
        <v>245.11</v>
      </c>
      <c r="Q331" s="3">
        <f>Table1_1[[#This Row],[Sales]]/Table1_1[[#This Row],[Quantity]]</f>
        <v>1158.19</v>
      </c>
    </row>
    <row r="332" spans="1:17" x14ac:dyDescent="0.3">
      <c r="A332" t="s">
        <v>345</v>
      </c>
      <c r="B332" s="2">
        <f t="shared" si="9"/>
        <v>44643</v>
      </c>
      <c r="C332" t="s">
        <v>827</v>
      </c>
      <c r="D332" s="2">
        <v>44653</v>
      </c>
      <c r="E332" t="s">
        <v>1359</v>
      </c>
      <c r="F332" t="s">
        <v>1375</v>
      </c>
      <c r="G332" t="s">
        <v>1704</v>
      </c>
      <c r="H332" t="s">
        <v>1385</v>
      </c>
      <c r="I332" t="s">
        <v>1388</v>
      </c>
      <c r="J332" t="s">
        <v>1392</v>
      </c>
      <c r="K332" t="s">
        <v>1395</v>
      </c>
      <c r="L332" t="s">
        <v>1631</v>
      </c>
      <c r="M332" s="3">
        <v>473.5</v>
      </c>
      <c r="N332">
        <v>7</v>
      </c>
      <c r="O332" s="3">
        <v>0</v>
      </c>
      <c r="P332" s="3">
        <v>60.65</v>
      </c>
      <c r="Q332" s="3">
        <f>Table1_1[[#This Row],[Sales]]/Table1_1[[#This Row],[Quantity]]</f>
        <v>67.642857142857139</v>
      </c>
    </row>
    <row r="333" spans="1:17" x14ac:dyDescent="0.3">
      <c r="A333" t="s">
        <v>346</v>
      </c>
      <c r="B333" s="2">
        <f t="shared" si="9"/>
        <v>45432</v>
      </c>
      <c r="C333" t="s">
        <v>1908</v>
      </c>
      <c r="D333" s="2">
        <v>45441</v>
      </c>
      <c r="E333" t="s">
        <v>1359</v>
      </c>
      <c r="F333" t="s">
        <v>1374</v>
      </c>
      <c r="G333" t="s">
        <v>1379</v>
      </c>
      <c r="H333" t="s">
        <v>1384</v>
      </c>
      <c r="I333" t="s">
        <v>1390</v>
      </c>
      <c r="J333" t="s">
        <v>1394</v>
      </c>
      <c r="K333" t="s">
        <v>1402</v>
      </c>
      <c r="L333" t="s">
        <v>1577</v>
      </c>
      <c r="M333" s="3">
        <v>59.66</v>
      </c>
      <c r="N333">
        <v>10</v>
      </c>
      <c r="O333" s="3">
        <v>0</v>
      </c>
      <c r="P333" s="3">
        <v>3.45</v>
      </c>
      <c r="Q333" s="3">
        <f>Table1_1[[#This Row],[Sales]]/Table1_1[[#This Row],[Quantity]]</f>
        <v>5.9659999999999993</v>
      </c>
    </row>
    <row r="334" spans="1:17" x14ac:dyDescent="0.3">
      <c r="A334" t="s">
        <v>347</v>
      </c>
      <c r="B334" s="2">
        <f t="shared" si="9"/>
        <v>44562</v>
      </c>
      <c r="C334" t="s">
        <v>1909</v>
      </c>
      <c r="D334" s="2">
        <v>44565</v>
      </c>
      <c r="E334" t="s">
        <v>1359</v>
      </c>
      <c r="F334" t="s">
        <v>1374</v>
      </c>
      <c r="G334" t="s">
        <v>1379</v>
      </c>
      <c r="H334" t="s">
        <v>1381</v>
      </c>
      <c r="I334" t="s">
        <v>1391</v>
      </c>
      <c r="J334" t="s">
        <v>1392</v>
      </c>
      <c r="K334" t="s">
        <v>1397</v>
      </c>
      <c r="L334" t="s">
        <v>1632</v>
      </c>
      <c r="M334" s="3">
        <v>940.01</v>
      </c>
      <c r="N334">
        <v>6</v>
      </c>
      <c r="O334" s="3">
        <v>0.2</v>
      </c>
      <c r="P334" s="3">
        <v>2.56</v>
      </c>
      <c r="Q334" s="3">
        <f>Table1_1[[#This Row],[Sales]]/Table1_1[[#This Row],[Quantity]]</f>
        <v>156.66833333333332</v>
      </c>
    </row>
    <row r="335" spans="1:17" x14ac:dyDescent="0.3">
      <c r="A335" t="s">
        <v>348</v>
      </c>
      <c r="B335" s="2">
        <f t="shared" si="9"/>
        <v>45411</v>
      </c>
      <c r="C335" t="s">
        <v>1910</v>
      </c>
      <c r="D335" s="2">
        <v>45420</v>
      </c>
      <c r="E335" t="s">
        <v>1373</v>
      </c>
      <c r="F335" t="s">
        <v>1374</v>
      </c>
      <c r="G335" t="s">
        <v>1379</v>
      </c>
      <c r="H335" t="s">
        <v>1384</v>
      </c>
      <c r="I335" t="s">
        <v>1390</v>
      </c>
      <c r="J335" t="s">
        <v>1393</v>
      </c>
      <c r="K335" t="s">
        <v>1399</v>
      </c>
      <c r="L335" t="s">
        <v>1633</v>
      </c>
      <c r="M335" s="3">
        <v>430.02</v>
      </c>
      <c r="N335">
        <v>5</v>
      </c>
      <c r="O335" s="3">
        <v>0.1</v>
      </c>
      <c r="P335" s="3">
        <v>44.37</v>
      </c>
      <c r="Q335" s="3">
        <f>Table1_1[[#This Row],[Sales]]/Table1_1[[#This Row],[Quantity]]</f>
        <v>86.003999999999991</v>
      </c>
    </row>
    <row r="336" spans="1:17" x14ac:dyDescent="0.3">
      <c r="A336" t="s">
        <v>349</v>
      </c>
      <c r="B336" s="2">
        <f t="shared" si="9"/>
        <v>45080</v>
      </c>
      <c r="C336" t="s">
        <v>831</v>
      </c>
      <c r="D336" s="2">
        <v>45082</v>
      </c>
      <c r="E336" t="s">
        <v>1364</v>
      </c>
      <c r="F336" t="s">
        <v>1376</v>
      </c>
      <c r="G336" t="s">
        <v>1704</v>
      </c>
      <c r="H336" t="s">
        <v>1385</v>
      </c>
      <c r="I336" t="s">
        <v>1389</v>
      </c>
      <c r="J336" t="s">
        <v>1393</v>
      </c>
      <c r="K336" t="s">
        <v>1400</v>
      </c>
      <c r="L336" t="s">
        <v>1634</v>
      </c>
      <c r="M336" s="3">
        <v>613.74</v>
      </c>
      <c r="N336">
        <v>6</v>
      </c>
      <c r="O336" s="3">
        <v>0</v>
      </c>
      <c r="P336" s="3">
        <v>123.65</v>
      </c>
      <c r="Q336" s="3">
        <f>Table1_1[[#This Row],[Sales]]/Table1_1[[#This Row],[Quantity]]</f>
        <v>102.29</v>
      </c>
    </row>
    <row r="337" spans="1:17" x14ac:dyDescent="0.3">
      <c r="A337" t="s">
        <v>350</v>
      </c>
      <c r="B337" s="2">
        <f t="shared" si="9"/>
        <v>44811</v>
      </c>
      <c r="C337" t="s">
        <v>832</v>
      </c>
      <c r="D337" s="2">
        <v>44817</v>
      </c>
      <c r="E337" t="s">
        <v>1366</v>
      </c>
      <c r="F337" t="s">
        <v>1374</v>
      </c>
      <c r="G337" t="s">
        <v>1704</v>
      </c>
      <c r="H337" t="s">
        <v>1382</v>
      </c>
      <c r="I337" t="s">
        <v>1390</v>
      </c>
      <c r="J337" t="s">
        <v>1394</v>
      </c>
      <c r="K337" t="s">
        <v>1398</v>
      </c>
      <c r="L337" t="s">
        <v>1599</v>
      </c>
      <c r="M337" s="3">
        <v>563.65</v>
      </c>
      <c r="N337">
        <v>10</v>
      </c>
      <c r="O337" s="3">
        <v>0</v>
      </c>
      <c r="P337" s="3">
        <v>23.1</v>
      </c>
      <c r="Q337" s="3">
        <f>Table1_1[[#This Row],[Sales]]/Table1_1[[#This Row],[Quantity]]</f>
        <v>56.364999999999995</v>
      </c>
    </row>
    <row r="338" spans="1:17" x14ac:dyDescent="0.3">
      <c r="A338" t="s">
        <v>351</v>
      </c>
      <c r="B338" s="2">
        <f t="shared" si="9"/>
        <v>44984</v>
      </c>
      <c r="C338" t="s">
        <v>833</v>
      </c>
      <c r="D338" s="2">
        <v>44990</v>
      </c>
      <c r="E338" t="s">
        <v>1371</v>
      </c>
      <c r="F338" t="s">
        <v>1374</v>
      </c>
      <c r="G338" t="s">
        <v>1704</v>
      </c>
      <c r="H338" t="s">
        <v>1385</v>
      </c>
      <c r="I338" t="s">
        <v>1391</v>
      </c>
      <c r="J338" t="s">
        <v>1393</v>
      </c>
      <c r="K338" t="s">
        <v>1396</v>
      </c>
      <c r="L338" t="s">
        <v>1563</v>
      </c>
      <c r="M338" s="3">
        <v>31.47</v>
      </c>
      <c r="N338">
        <v>5</v>
      </c>
      <c r="O338" s="3">
        <v>0.1</v>
      </c>
      <c r="P338" s="3">
        <v>-1.77</v>
      </c>
      <c r="Q338" s="3">
        <f>Table1_1[[#This Row],[Sales]]/Table1_1[[#This Row],[Quantity]]</f>
        <v>6.2939999999999996</v>
      </c>
    </row>
    <row r="339" spans="1:17" x14ac:dyDescent="0.3">
      <c r="A339" t="s">
        <v>352</v>
      </c>
      <c r="B339" s="2">
        <f t="shared" si="9"/>
        <v>44785</v>
      </c>
      <c r="C339" t="s">
        <v>1911</v>
      </c>
      <c r="D339" s="2">
        <v>44795</v>
      </c>
      <c r="E339" t="s">
        <v>1368</v>
      </c>
      <c r="F339" t="s">
        <v>1375</v>
      </c>
      <c r="G339" t="s">
        <v>1704</v>
      </c>
      <c r="H339" t="s">
        <v>1387</v>
      </c>
      <c r="I339" t="s">
        <v>1390</v>
      </c>
      <c r="J339" t="s">
        <v>1394</v>
      </c>
      <c r="K339" t="s">
        <v>1402</v>
      </c>
      <c r="L339" t="s">
        <v>1432</v>
      </c>
      <c r="M339" s="3">
        <v>1137.5999999999999</v>
      </c>
      <c r="N339">
        <v>4</v>
      </c>
      <c r="O339" s="3">
        <v>0.2</v>
      </c>
      <c r="P339" s="3">
        <v>191.75</v>
      </c>
      <c r="Q339" s="3">
        <f>Table1_1[[#This Row],[Sales]]/Table1_1[[#This Row],[Quantity]]</f>
        <v>284.39999999999998</v>
      </c>
    </row>
    <row r="340" spans="1:17" hidden="1" x14ac:dyDescent="0.3">
      <c r="A340" t="s">
        <v>353</v>
      </c>
      <c r="B340" s="2" t="e">
        <f t="shared" si="9"/>
        <v>#VALUE!</v>
      </c>
      <c r="C340" t="s">
        <v>1912</v>
      </c>
      <c r="D340" s="2">
        <v>44929</v>
      </c>
      <c r="E340" t="s">
        <v>1366</v>
      </c>
      <c r="F340" t="s">
        <v>1376</v>
      </c>
      <c r="G340" t="s">
        <v>1379</v>
      </c>
      <c r="H340" t="s">
        <v>1385</v>
      </c>
      <c r="I340" t="s">
        <v>1391</v>
      </c>
      <c r="J340" t="s">
        <v>1392</v>
      </c>
      <c r="K340" t="s">
        <v>1401</v>
      </c>
      <c r="L340" t="s">
        <v>1436</v>
      </c>
      <c r="M340" s="3">
        <v>1105.82</v>
      </c>
      <c r="N340">
        <v>8</v>
      </c>
      <c r="O340" s="3">
        <v>0</v>
      </c>
      <c r="P340" s="3">
        <v>-217.5</v>
      </c>
      <c r="Q340" s="3">
        <f>Table1_1[[#This Row],[Sales]]/Table1_1[[#This Row],[Quantity]]</f>
        <v>138.22749999999999</v>
      </c>
    </row>
    <row r="341" spans="1:17" x14ac:dyDescent="0.3">
      <c r="A341" t="s">
        <v>354</v>
      </c>
      <c r="B341" s="2">
        <f t="shared" si="9"/>
        <v>44749</v>
      </c>
      <c r="C341" t="s">
        <v>836</v>
      </c>
      <c r="D341" s="2">
        <v>44758</v>
      </c>
      <c r="E341" t="s">
        <v>1365</v>
      </c>
      <c r="F341" t="s">
        <v>1375</v>
      </c>
      <c r="G341" t="s">
        <v>1379</v>
      </c>
      <c r="H341" t="s">
        <v>1385</v>
      </c>
      <c r="I341" t="s">
        <v>1390</v>
      </c>
      <c r="J341" t="s">
        <v>1394</v>
      </c>
      <c r="K341" t="s">
        <v>1403</v>
      </c>
      <c r="L341" t="s">
        <v>1635</v>
      </c>
      <c r="M341" s="3">
        <v>282.07</v>
      </c>
      <c r="N341">
        <v>10</v>
      </c>
      <c r="O341" s="3">
        <v>0.1</v>
      </c>
      <c r="P341" s="3">
        <v>-48.78</v>
      </c>
      <c r="Q341" s="3">
        <f>Table1_1[[#This Row],[Sales]]/Table1_1[[#This Row],[Quantity]]</f>
        <v>28.207000000000001</v>
      </c>
    </row>
    <row r="342" spans="1:17" x14ac:dyDescent="0.3">
      <c r="A342" t="s">
        <v>355</v>
      </c>
      <c r="B342" s="2">
        <f t="shared" si="9"/>
        <v>44685</v>
      </c>
      <c r="C342" t="s">
        <v>1913</v>
      </c>
      <c r="D342" s="2">
        <v>44694</v>
      </c>
      <c r="E342" t="s">
        <v>1372</v>
      </c>
      <c r="F342" t="s">
        <v>1374</v>
      </c>
      <c r="G342" t="s">
        <v>1379</v>
      </c>
      <c r="H342" t="s">
        <v>1387</v>
      </c>
      <c r="I342" t="s">
        <v>1391</v>
      </c>
      <c r="J342" t="s">
        <v>1394</v>
      </c>
      <c r="K342" t="s">
        <v>1403</v>
      </c>
      <c r="L342" t="s">
        <v>1636</v>
      </c>
      <c r="M342" s="3">
        <v>833.27</v>
      </c>
      <c r="N342">
        <v>1</v>
      </c>
      <c r="O342" s="3">
        <v>0.1</v>
      </c>
      <c r="P342" s="3">
        <v>-8.57</v>
      </c>
      <c r="Q342" s="3">
        <f>Table1_1[[#This Row],[Sales]]/Table1_1[[#This Row],[Quantity]]</f>
        <v>833.27</v>
      </c>
    </row>
    <row r="343" spans="1:17" x14ac:dyDescent="0.3">
      <c r="A343" t="s">
        <v>356</v>
      </c>
      <c r="B343" s="2">
        <f t="shared" si="9"/>
        <v>44630</v>
      </c>
      <c r="C343" t="s">
        <v>1914</v>
      </c>
      <c r="D343" s="2">
        <v>44845</v>
      </c>
      <c r="E343" t="s">
        <v>1372</v>
      </c>
      <c r="F343" t="s">
        <v>1376</v>
      </c>
      <c r="G343" t="s">
        <v>1379</v>
      </c>
      <c r="H343" t="s">
        <v>1385</v>
      </c>
      <c r="I343" t="s">
        <v>1390</v>
      </c>
      <c r="J343" t="s">
        <v>1393</v>
      </c>
      <c r="K343" t="s">
        <v>1399</v>
      </c>
      <c r="L343" t="s">
        <v>1637</v>
      </c>
      <c r="M343" s="3">
        <v>451.79</v>
      </c>
      <c r="N343">
        <v>8</v>
      </c>
      <c r="O343" s="3">
        <v>0.2</v>
      </c>
      <c r="P343" s="3">
        <v>-42.8</v>
      </c>
      <c r="Q343" s="3">
        <f>Table1_1[[#This Row],[Sales]]/Table1_1[[#This Row],[Quantity]]</f>
        <v>56.473750000000003</v>
      </c>
    </row>
    <row r="344" spans="1:17" x14ac:dyDescent="0.3">
      <c r="A344" t="s">
        <v>357</v>
      </c>
      <c r="B344" s="2">
        <f t="shared" si="9"/>
        <v>44696</v>
      </c>
      <c r="C344" t="s">
        <v>839</v>
      </c>
      <c r="D344" s="2">
        <v>44706</v>
      </c>
      <c r="E344" t="s">
        <v>1363</v>
      </c>
      <c r="F344" t="s">
        <v>1374</v>
      </c>
      <c r="G344" t="s">
        <v>1704</v>
      </c>
      <c r="H344" t="s">
        <v>1385</v>
      </c>
      <c r="I344" t="s">
        <v>1388</v>
      </c>
      <c r="J344" t="s">
        <v>1393</v>
      </c>
      <c r="K344" t="s">
        <v>1400</v>
      </c>
      <c r="L344" t="s">
        <v>1638</v>
      </c>
      <c r="M344" s="3">
        <v>980.74</v>
      </c>
      <c r="N344">
        <v>5</v>
      </c>
      <c r="O344" s="3">
        <v>0.1</v>
      </c>
      <c r="P344" s="3">
        <v>76.17</v>
      </c>
      <c r="Q344" s="3">
        <f>Table1_1[[#This Row],[Sales]]/Table1_1[[#This Row],[Quantity]]</f>
        <v>196.148</v>
      </c>
    </row>
    <row r="345" spans="1:17" x14ac:dyDescent="0.3">
      <c r="A345" t="s">
        <v>358</v>
      </c>
      <c r="B345" s="2">
        <f t="shared" si="9"/>
        <v>45141</v>
      </c>
      <c r="C345" t="s">
        <v>1915</v>
      </c>
      <c r="D345" s="2">
        <v>45001</v>
      </c>
      <c r="E345" t="s">
        <v>1359</v>
      </c>
      <c r="F345" t="s">
        <v>1376</v>
      </c>
      <c r="G345" t="s">
        <v>1379</v>
      </c>
      <c r="H345" t="s">
        <v>1382</v>
      </c>
      <c r="I345" t="s">
        <v>1390</v>
      </c>
      <c r="J345" t="s">
        <v>1392</v>
      </c>
      <c r="K345" t="s">
        <v>1395</v>
      </c>
      <c r="L345" t="s">
        <v>1566</v>
      </c>
      <c r="M345" s="3">
        <v>630.07000000000005</v>
      </c>
      <c r="N345">
        <v>6</v>
      </c>
      <c r="O345" s="3">
        <v>0.2</v>
      </c>
      <c r="P345" s="3">
        <v>-31.49</v>
      </c>
      <c r="Q345" s="3">
        <f>Table1_1[[#This Row],[Sales]]/Table1_1[[#This Row],[Quantity]]</f>
        <v>105.01166666666667</v>
      </c>
    </row>
    <row r="346" spans="1:17" x14ac:dyDescent="0.3">
      <c r="A346" t="s">
        <v>359</v>
      </c>
      <c r="B346" s="2">
        <f t="shared" si="9"/>
        <v>44812</v>
      </c>
      <c r="C346" t="s">
        <v>1916</v>
      </c>
      <c r="D346" s="2">
        <v>44787</v>
      </c>
      <c r="E346" t="s">
        <v>1360</v>
      </c>
      <c r="F346" t="s">
        <v>1376</v>
      </c>
      <c r="G346" t="s">
        <v>1379</v>
      </c>
      <c r="H346" t="s">
        <v>1385</v>
      </c>
      <c r="I346" t="s">
        <v>1388</v>
      </c>
      <c r="J346" t="s">
        <v>1394</v>
      </c>
      <c r="K346" t="s">
        <v>1398</v>
      </c>
      <c r="L346" t="s">
        <v>1464</v>
      </c>
      <c r="M346" s="3">
        <v>133.63999999999999</v>
      </c>
      <c r="N346">
        <v>6</v>
      </c>
      <c r="O346" s="3">
        <v>0.15</v>
      </c>
      <c r="P346" s="3">
        <v>-2.61</v>
      </c>
      <c r="Q346" s="3">
        <f>Table1_1[[#This Row],[Sales]]/Table1_1[[#This Row],[Quantity]]</f>
        <v>22.27333333333333</v>
      </c>
    </row>
    <row r="347" spans="1:17" x14ac:dyDescent="0.3">
      <c r="A347" t="s">
        <v>360</v>
      </c>
      <c r="B347" s="2">
        <f t="shared" si="9"/>
        <v>45450</v>
      </c>
      <c r="C347" t="s">
        <v>842</v>
      </c>
      <c r="D347" s="2">
        <v>45460</v>
      </c>
      <c r="E347" t="s">
        <v>1372</v>
      </c>
      <c r="F347" t="s">
        <v>1374</v>
      </c>
      <c r="G347" t="s">
        <v>1704</v>
      </c>
      <c r="H347" t="s">
        <v>1386</v>
      </c>
      <c r="I347" t="s">
        <v>1389</v>
      </c>
      <c r="J347" t="s">
        <v>1392</v>
      </c>
      <c r="K347" t="s">
        <v>1395</v>
      </c>
      <c r="L347" t="s">
        <v>1404</v>
      </c>
      <c r="M347" s="3">
        <v>699.56</v>
      </c>
      <c r="N347">
        <v>9</v>
      </c>
      <c r="O347" s="3">
        <v>0.1</v>
      </c>
      <c r="P347" s="3">
        <v>202.65</v>
      </c>
      <c r="Q347" s="3">
        <f>Table1_1[[#This Row],[Sales]]/Table1_1[[#This Row],[Quantity]]</f>
        <v>77.728888888888889</v>
      </c>
    </row>
    <row r="348" spans="1:17" x14ac:dyDescent="0.3">
      <c r="A348" t="s">
        <v>361</v>
      </c>
      <c r="B348" s="2">
        <f t="shared" si="9"/>
        <v>44952</v>
      </c>
      <c r="C348" t="s">
        <v>843</v>
      </c>
      <c r="D348" s="2">
        <v>44962</v>
      </c>
      <c r="E348" t="s">
        <v>1365</v>
      </c>
      <c r="F348" t="s">
        <v>1374</v>
      </c>
      <c r="G348" t="s">
        <v>1704</v>
      </c>
      <c r="H348" t="s">
        <v>1386</v>
      </c>
      <c r="I348" t="s">
        <v>1388</v>
      </c>
      <c r="J348" t="s">
        <v>1394</v>
      </c>
      <c r="K348" t="s">
        <v>1403</v>
      </c>
      <c r="L348" t="s">
        <v>1441</v>
      </c>
      <c r="M348" s="3">
        <v>765.42</v>
      </c>
      <c r="N348">
        <v>3</v>
      </c>
      <c r="O348" s="3">
        <v>0.1</v>
      </c>
      <c r="P348" s="3">
        <v>92.07</v>
      </c>
      <c r="Q348" s="3">
        <f>Table1_1[[#This Row],[Sales]]/Table1_1[[#This Row],[Quantity]]</f>
        <v>255.14</v>
      </c>
    </row>
    <row r="349" spans="1:17" x14ac:dyDescent="0.3">
      <c r="A349" t="s">
        <v>362</v>
      </c>
      <c r="B349" s="2">
        <f t="shared" si="9"/>
        <v>44727</v>
      </c>
      <c r="C349" t="s">
        <v>844</v>
      </c>
      <c r="D349" s="2">
        <v>44733</v>
      </c>
      <c r="E349" t="s">
        <v>1372</v>
      </c>
      <c r="F349" t="s">
        <v>1376</v>
      </c>
      <c r="G349" t="s">
        <v>1704</v>
      </c>
      <c r="H349" t="s">
        <v>1385</v>
      </c>
      <c r="I349" t="s">
        <v>1390</v>
      </c>
      <c r="J349" t="s">
        <v>1392</v>
      </c>
      <c r="K349" t="s">
        <v>1397</v>
      </c>
      <c r="L349" t="s">
        <v>1639</v>
      </c>
      <c r="M349" s="3">
        <v>393.92</v>
      </c>
      <c r="N349">
        <v>5</v>
      </c>
      <c r="O349" s="3">
        <v>0.15</v>
      </c>
      <c r="P349" s="3">
        <v>40.450000000000003</v>
      </c>
      <c r="Q349" s="3">
        <f>Table1_1[[#This Row],[Sales]]/Table1_1[[#This Row],[Quantity]]</f>
        <v>78.784000000000006</v>
      </c>
    </row>
    <row r="350" spans="1:17" x14ac:dyDescent="0.3">
      <c r="A350" t="s">
        <v>363</v>
      </c>
      <c r="B350" s="2">
        <f t="shared" si="9"/>
        <v>45436</v>
      </c>
      <c r="C350" t="s">
        <v>845</v>
      </c>
      <c r="D350" s="2">
        <v>45437</v>
      </c>
      <c r="E350" t="s">
        <v>1369</v>
      </c>
      <c r="F350" t="s">
        <v>1375</v>
      </c>
      <c r="G350" t="s">
        <v>1704</v>
      </c>
      <c r="H350" t="s">
        <v>1383</v>
      </c>
      <c r="I350" t="s">
        <v>1388</v>
      </c>
      <c r="J350" t="s">
        <v>1392</v>
      </c>
      <c r="K350" t="s">
        <v>1395</v>
      </c>
      <c r="L350" t="s">
        <v>1640</v>
      </c>
      <c r="M350" s="3">
        <v>296.86</v>
      </c>
      <c r="N350">
        <v>5</v>
      </c>
      <c r="O350" s="3">
        <v>0</v>
      </c>
      <c r="P350" s="3">
        <v>-28.12</v>
      </c>
      <c r="Q350" s="3">
        <f>Table1_1[[#This Row],[Sales]]/Table1_1[[#This Row],[Quantity]]</f>
        <v>59.372</v>
      </c>
    </row>
    <row r="351" spans="1:17" x14ac:dyDescent="0.3">
      <c r="A351" t="s">
        <v>364</v>
      </c>
      <c r="B351" s="2">
        <f t="shared" si="9"/>
        <v>45351</v>
      </c>
      <c r="C351" t="s">
        <v>846</v>
      </c>
      <c r="D351" s="2">
        <v>45358</v>
      </c>
      <c r="E351" t="s">
        <v>1371</v>
      </c>
      <c r="F351" t="s">
        <v>1375</v>
      </c>
      <c r="G351" t="s">
        <v>1379</v>
      </c>
      <c r="H351" t="s">
        <v>1385</v>
      </c>
      <c r="I351" t="s">
        <v>1390</v>
      </c>
      <c r="J351" t="s">
        <v>1393</v>
      </c>
      <c r="K351" t="s">
        <v>1400</v>
      </c>
      <c r="L351" t="s">
        <v>1641</v>
      </c>
      <c r="M351" s="3">
        <v>142.63999999999999</v>
      </c>
      <c r="N351">
        <v>10</v>
      </c>
      <c r="O351" s="3">
        <v>0.1</v>
      </c>
      <c r="P351" s="3">
        <v>-22.51</v>
      </c>
      <c r="Q351" s="3">
        <f>Table1_1[[#This Row],[Sales]]/Table1_1[[#This Row],[Quantity]]</f>
        <v>14.263999999999999</v>
      </c>
    </row>
    <row r="352" spans="1:17" hidden="1" x14ac:dyDescent="0.3">
      <c r="A352" t="s">
        <v>365</v>
      </c>
      <c r="B352" s="2" t="e">
        <f t="shared" si="9"/>
        <v>#VALUE!</v>
      </c>
      <c r="C352" t="s">
        <v>1917</v>
      </c>
      <c r="D352" s="2">
        <v>45104</v>
      </c>
      <c r="E352" t="s">
        <v>1362</v>
      </c>
      <c r="F352" t="s">
        <v>1376</v>
      </c>
      <c r="G352" t="s">
        <v>1704</v>
      </c>
      <c r="H352" t="s">
        <v>1382</v>
      </c>
      <c r="I352" t="s">
        <v>1390</v>
      </c>
      <c r="J352" t="s">
        <v>1392</v>
      </c>
      <c r="K352" t="s">
        <v>1401</v>
      </c>
      <c r="L352" t="s">
        <v>1575</v>
      </c>
      <c r="M352" s="3">
        <v>802.99</v>
      </c>
      <c r="N352">
        <v>6</v>
      </c>
      <c r="O352" s="3">
        <v>0.2</v>
      </c>
      <c r="P352" s="3">
        <v>26.98</v>
      </c>
      <c r="Q352" s="3">
        <f>Table1_1[[#This Row],[Sales]]/Table1_1[[#This Row],[Quantity]]</f>
        <v>133.83166666666668</v>
      </c>
    </row>
    <row r="353" spans="1:17" x14ac:dyDescent="0.3">
      <c r="A353" t="s">
        <v>366</v>
      </c>
      <c r="B353" s="2">
        <f t="shared" si="9"/>
        <v>45025</v>
      </c>
      <c r="C353" t="s">
        <v>1918</v>
      </c>
      <c r="D353" s="2">
        <v>45181</v>
      </c>
      <c r="E353" t="s">
        <v>1360</v>
      </c>
      <c r="F353" t="s">
        <v>1376</v>
      </c>
      <c r="G353" t="s">
        <v>1704</v>
      </c>
      <c r="H353" t="s">
        <v>1383</v>
      </c>
      <c r="I353" t="s">
        <v>1390</v>
      </c>
      <c r="J353" t="s">
        <v>1393</v>
      </c>
      <c r="K353" t="s">
        <v>1396</v>
      </c>
      <c r="L353" t="s">
        <v>1511</v>
      </c>
      <c r="M353" s="3">
        <v>770.3</v>
      </c>
      <c r="N353">
        <v>10</v>
      </c>
      <c r="O353" s="3">
        <v>0.2</v>
      </c>
      <c r="P353" s="3">
        <v>47.55</v>
      </c>
      <c r="Q353" s="3">
        <f>Table1_1[[#This Row],[Sales]]/Table1_1[[#This Row],[Quantity]]</f>
        <v>77.03</v>
      </c>
    </row>
    <row r="354" spans="1:17" x14ac:dyDescent="0.3">
      <c r="A354" t="s">
        <v>367</v>
      </c>
      <c r="B354" s="2">
        <f t="shared" si="9"/>
        <v>45014</v>
      </c>
      <c r="C354" t="s">
        <v>1919</v>
      </c>
      <c r="D354" s="2">
        <v>45019</v>
      </c>
      <c r="E354" t="s">
        <v>1372</v>
      </c>
      <c r="F354" t="s">
        <v>1376</v>
      </c>
      <c r="G354" t="s">
        <v>1379</v>
      </c>
      <c r="H354" t="s">
        <v>1382</v>
      </c>
      <c r="I354" t="s">
        <v>1389</v>
      </c>
      <c r="J354" t="s">
        <v>1394</v>
      </c>
      <c r="K354" t="s">
        <v>1403</v>
      </c>
      <c r="L354" t="s">
        <v>1642</v>
      </c>
      <c r="M354" s="3">
        <v>326.57</v>
      </c>
      <c r="N354">
        <v>5</v>
      </c>
      <c r="O354" s="3">
        <v>0</v>
      </c>
      <c r="P354" s="3">
        <v>-65.3</v>
      </c>
      <c r="Q354" s="3">
        <f>Table1_1[[#This Row],[Sales]]/Table1_1[[#This Row],[Quantity]]</f>
        <v>65.313999999999993</v>
      </c>
    </row>
    <row r="355" spans="1:17" x14ac:dyDescent="0.3">
      <c r="A355" t="s">
        <v>368</v>
      </c>
      <c r="B355" s="2">
        <f t="shared" si="9"/>
        <v>45021</v>
      </c>
      <c r="C355" t="s">
        <v>1920</v>
      </c>
      <c r="D355" s="2">
        <v>45055</v>
      </c>
      <c r="E355" t="s">
        <v>1371</v>
      </c>
      <c r="F355" t="s">
        <v>1376</v>
      </c>
      <c r="G355" t="s">
        <v>1704</v>
      </c>
      <c r="H355" t="s">
        <v>1385</v>
      </c>
      <c r="I355" t="s">
        <v>1390</v>
      </c>
      <c r="J355" t="s">
        <v>1392</v>
      </c>
      <c r="K355" t="s">
        <v>1397</v>
      </c>
      <c r="L355" t="s">
        <v>1643</v>
      </c>
      <c r="M355" s="3">
        <v>961.6</v>
      </c>
      <c r="N355">
        <v>10</v>
      </c>
      <c r="O355" s="3">
        <v>0.1</v>
      </c>
      <c r="P355" s="3">
        <v>190.77</v>
      </c>
      <c r="Q355" s="3">
        <f>Table1_1[[#This Row],[Sales]]/Table1_1[[#This Row],[Quantity]]</f>
        <v>96.16</v>
      </c>
    </row>
    <row r="356" spans="1:17" x14ac:dyDescent="0.3">
      <c r="A356" t="s">
        <v>369</v>
      </c>
      <c r="B356" s="2">
        <f t="shared" si="9"/>
        <v>45352</v>
      </c>
      <c r="C356" t="s">
        <v>1921</v>
      </c>
      <c r="D356" s="2">
        <v>45301</v>
      </c>
      <c r="E356" t="s">
        <v>1372</v>
      </c>
      <c r="F356" t="s">
        <v>1374</v>
      </c>
      <c r="G356" t="s">
        <v>1379</v>
      </c>
      <c r="H356" t="s">
        <v>1385</v>
      </c>
      <c r="I356" t="s">
        <v>1390</v>
      </c>
      <c r="J356" t="s">
        <v>1394</v>
      </c>
      <c r="K356" t="s">
        <v>1402</v>
      </c>
      <c r="L356" t="s">
        <v>1644</v>
      </c>
      <c r="M356" s="3">
        <v>330.32</v>
      </c>
      <c r="N356">
        <v>7</v>
      </c>
      <c r="O356" s="3">
        <v>0.1</v>
      </c>
      <c r="P356" s="3">
        <v>19.260000000000002</v>
      </c>
      <c r="Q356" s="3">
        <f>Table1_1[[#This Row],[Sales]]/Table1_1[[#This Row],[Quantity]]</f>
        <v>47.188571428571429</v>
      </c>
    </row>
    <row r="357" spans="1:17" x14ac:dyDescent="0.3">
      <c r="A357" t="s">
        <v>370</v>
      </c>
      <c r="B357" s="2">
        <f t="shared" si="9"/>
        <v>44719</v>
      </c>
      <c r="C357" t="s">
        <v>1922</v>
      </c>
      <c r="D357" s="2">
        <v>44751</v>
      </c>
      <c r="E357" t="s">
        <v>1367</v>
      </c>
      <c r="F357" t="s">
        <v>1376</v>
      </c>
      <c r="G357" t="s">
        <v>1379</v>
      </c>
      <c r="H357" t="s">
        <v>1387</v>
      </c>
      <c r="I357" t="s">
        <v>1388</v>
      </c>
      <c r="J357" t="s">
        <v>1394</v>
      </c>
      <c r="K357" t="s">
        <v>1402</v>
      </c>
      <c r="L357" t="s">
        <v>1645</v>
      </c>
      <c r="M357" s="3">
        <v>771.53</v>
      </c>
      <c r="N357">
        <v>10</v>
      </c>
      <c r="O357" s="3">
        <v>0.2</v>
      </c>
      <c r="P357" s="3">
        <v>-49.33</v>
      </c>
      <c r="Q357" s="3">
        <f>Table1_1[[#This Row],[Sales]]/Table1_1[[#This Row],[Quantity]]</f>
        <v>77.152999999999992</v>
      </c>
    </row>
    <row r="358" spans="1:17" x14ac:dyDescent="0.3">
      <c r="A358" t="s">
        <v>371</v>
      </c>
      <c r="B358" s="2">
        <f t="shared" si="9"/>
        <v>44584</v>
      </c>
      <c r="C358" t="s">
        <v>1923</v>
      </c>
      <c r="D358" s="2">
        <v>44587</v>
      </c>
      <c r="E358" t="s">
        <v>1366</v>
      </c>
      <c r="F358" t="s">
        <v>1375</v>
      </c>
      <c r="G358" t="s">
        <v>1379</v>
      </c>
      <c r="H358" t="s">
        <v>1385</v>
      </c>
      <c r="I358" t="s">
        <v>1391</v>
      </c>
      <c r="J358" t="s">
        <v>1392</v>
      </c>
      <c r="K358" t="s">
        <v>1397</v>
      </c>
      <c r="L358" t="s">
        <v>1646</v>
      </c>
      <c r="M358" s="3">
        <v>337.65</v>
      </c>
      <c r="N358">
        <v>8</v>
      </c>
      <c r="O358" s="3">
        <v>0</v>
      </c>
      <c r="P358" s="3">
        <v>-28.23</v>
      </c>
      <c r="Q358" s="3">
        <f>Table1_1[[#This Row],[Sales]]/Table1_1[[#This Row],[Quantity]]</f>
        <v>42.206249999999997</v>
      </c>
    </row>
    <row r="359" spans="1:17" x14ac:dyDescent="0.3">
      <c r="A359" t="s">
        <v>372</v>
      </c>
      <c r="B359" s="2">
        <f t="shared" si="9"/>
        <v>44942</v>
      </c>
      <c r="C359" t="s">
        <v>854</v>
      </c>
      <c r="D359" s="2">
        <v>44950</v>
      </c>
      <c r="E359" t="s">
        <v>1361</v>
      </c>
      <c r="F359" t="s">
        <v>1376</v>
      </c>
      <c r="G359" t="s">
        <v>1704</v>
      </c>
      <c r="H359" t="s">
        <v>1387</v>
      </c>
      <c r="I359" t="s">
        <v>1391</v>
      </c>
      <c r="J359" t="s">
        <v>1393</v>
      </c>
      <c r="K359" t="s">
        <v>1400</v>
      </c>
      <c r="L359" t="s">
        <v>1647</v>
      </c>
      <c r="M359" s="3">
        <v>409.69</v>
      </c>
      <c r="N359">
        <v>3</v>
      </c>
      <c r="O359" s="3">
        <v>0</v>
      </c>
      <c r="P359" s="3">
        <v>-27.35</v>
      </c>
      <c r="Q359" s="3">
        <f>Table1_1[[#This Row],[Sales]]/Table1_1[[#This Row],[Quantity]]</f>
        <v>136.56333333333333</v>
      </c>
    </row>
    <row r="360" spans="1:17" x14ac:dyDescent="0.3">
      <c r="A360" t="s">
        <v>373</v>
      </c>
      <c r="B360" s="2">
        <f t="shared" si="9"/>
        <v>45410</v>
      </c>
      <c r="C360" t="s">
        <v>1924</v>
      </c>
      <c r="D360" s="2">
        <v>45411</v>
      </c>
      <c r="E360" t="s">
        <v>1368</v>
      </c>
      <c r="F360" t="s">
        <v>1374</v>
      </c>
      <c r="G360" t="s">
        <v>1379</v>
      </c>
      <c r="H360" t="s">
        <v>1383</v>
      </c>
      <c r="I360" t="s">
        <v>1390</v>
      </c>
      <c r="J360" t="s">
        <v>1392</v>
      </c>
      <c r="K360" t="s">
        <v>1395</v>
      </c>
      <c r="L360" t="s">
        <v>1626</v>
      </c>
      <c r="M360" s="3">
        <v>313.77999999999997</v>
      </c>
      <c r="N360">
        <v>8</v>
      </c>
      <c r="O360" s="3">
        <v>0.1</v>
      </c>
      <c r="P360" s="3">
        <v>52.97</v>
      </c>
      <c r="Q360" s="3">
        <f>Table1_1[[#This Row],[Sales]]/Table1_1[[#This Row],[Quantity]]</f>
        <v>39.222499999999997</v>
      </c>
    </row>
    <row r="361" spans="1:17" x14ac:dyDescent="0.3">
      <c r="A361" t="s">
        <v>374</v>
      </c>
      <c r="B361" s="2">
        <f t="shared" si="9"/>
        <v>44960</v>
      </c>
      <c r="C361" t="s">
        <v>856</v>
      </c>
      <c r="D361" s="2">
        <v>44965</v>
      </c>
      <c r="E361" t="s">
        <v>1365</v>
      </c>
      <c r="F361" t="s">
        <v>1376</v>
      </c>
      <c r="G361" t="s">
        <v>1704</v>
      </c>
      <c r="H361" t="s">
        <v>1384</v>
      </c>
      <c r="I361" t="s">
        <v>1388</v>
      </c>
      <c r="J361" t="s">
        <v>1394</v>
      </c>
      <c r="K361" t="s">
        <v>1402</v>
      </c>
      <c r="L361" t="s">
        <v>1425</v>
      </c>
      <c r="M361" s="3">
        <v>762.41</v>
      </c>
      <c r="N361">
        <v>1</v>
      </c>
      <c r="O361" s="3">
        <v>0</v>
      </c>
      <c r="P361" s="3">
        <v>46.1</v>
      </c>
      <c r="Q361" s="3">
        <f>Table1_1[[#This Row],[Sales]]/Table1_1[[#This Row],[Quantity]]</f>
        <v>762.41</v>
      </c>
    </row>
    <row r="362" spans="1:17" x14ac:dyDescent="0.3">
      <c r="A362" t="s">
        <v>375</v>
      </c>
      <c r="B362" s="2">
        <f t="shared" si="9"/>
        <v>44903</v>
      </c>
      <c r="C362" t="s">
        <v>1925</v>
      </c>
      <c r="D362" s="2">
        <v>44787</v>
      </c>
      <c r="E362" t="s">
        <v>1366</v>
      </c>
      <c r="F362" t="s">
        <v>1375</v>
      </c>
      <c r="G362" t="s">
        <v>1379</v>
      </c>
      <c r="H362" t="s">
        <v>1381</v>
      </c>
      <c r="I362" t="s">
        <v>1389</v>
      </c>
      <c r="J362" t="s">
        <v>1392</v>
      </c>
      <c r="K362" t="s">
        <v>1395</v>
      </c>
      <c r="L362" t="s">
        <v>1648</v>
      </c>
      <c r="M362" s="3">
        <v>532.30999999999995</v>
      </c>
      <c r="N362">
        <v>1</v>
      </c>
      <c r="O362" s="3">
        <v>0.1</v>
      </c>
      <c r="P362" s="3">
        <v>104.97</v>
      </c>
      <c r="Q362" s="3">
        <f>Table1_1[[#This Row],[Sales]]/Table1_1[[#This Row],[Quantity]]</f>
        <v>532.30999999999995</v>
      </c>
    </row>
    <row r="363" spans="1:17" x14ac:dyDescent="0.3">
      <c r="A363" t="s">
        <v>376</v>
      </c>
      <c r="B363" s="2">
        <f t="shared" si="9"/>
        <v>45172</v>
      </c>
      <c r="C363" t="s">
        <v>858</v>
      </c>
      <c r="D363" s="2">
        <v>45175</v>
      </c>
      <c r="E363" t="s">
        <v>1369</v>
      </c>
      <c r="F363" t="s">
        <v>1376</v>
      </c>
      <c r="G363" t="s">
        <v>1704</v>
      </c>
      <c r="H363" t="s">
        <v>1382</v>
      </c>
      <c r="I363" t="s">
        <v>1388</v>
      </c>
      <c r="J363" t="s">
        <v>1394</v>
      </c>
      <c r="K363" t="s">
        <v>1402</v>
      </c>
      <c r="L363" t="s">
        <v>1477</v>
      </c>
      <c r="M363" s="3">
        <v>313.49</v>
      </c>
      <c r="N363">
        <v>8</v>
      </c>
      <c r="O363" s="3">
        <v>0</v>
      </c>
      <c r="P363" s="3">
        <v>44.82</v>
      </c>
      <c r="Q363" s="3">
        <f>Table1_1[[#This Row],[Sales]]/Table1_1[[#This Row],[Quantity]]</f>
        <v>39.186250000000001</v>
      </c>
    </row>
    <row r="364" spans="1:17" x14ac:dyDescent="0.3">
      <c r="A364" t="s">
        <v>377</v>
      </c>
      <c r="B364" s="2">
        <f t="shared" si="9"/>
        <v>45061</v>
      </c>
      <c r="C364" t="s">
        <v>1926</v>
      </c>
      <c r="D364" s="2">
        <v>45065</v>
      </c>
      <c r="E364" t="s">
        <v>1373</v>
      </c>
      <c r="F364" t="s">
        <v>1374</v>
      </c>
      <c r="G364" t="s">
        <v>1704</v>
      </c>
      <c r="H364" t="s">
        <v>1384</v>
      </c>
      <c r="I364" t="s">
        <v>1388</v>
      </c>
      <c r="J364" t="s">
        <v>1394</v>
      </c>
      <c r="K364" t="s">
        <v>1398</v>
      </c>
      <c r="L364" t="s">
        <v>1440</v>
      </c>
      <c r="M364" s="3">
        <v>950.5</v>
      </c>
      <c r="N364">
        <v>6</v>
      </c>
      <c r="O364" s="3">
        <v>0.2</v>
      </c>
      <c r="P364" s="3">
        <v>158.35</v>
      </c>
      <c r="Q364" s="3">
        <f>Table1_1[[#This Row],[Sales]]/Table1_1[[#This Row],[Quantity]]</f>
        <v>158.41666666666666</v>
      </c>
    </row>
    <row r="365" spans="1:17" hidden="1" x14ac:dyDescent="0.3">
      <c r="A365" t="s">
        <v>378</v>
      </c>
      <c r="B365" s="2" t="e">
        <f t="shared" si="9"/>
        <v>#VALUE!</v>
      </c>
      <c r="C365" t="s">
        <v>1927</v>
      </c>
      <c r="D365" s="2">
        <v>45293</v>
      </c>
      <c r="E365" t="s">
        <v>1372</v>
      </c>
      <c r="F365" t="s">
        <v>1374</v>
      </c>
      <c r="G365" t="s">
        <v>1704</v>
      </c>
      <c r="H365" t="s">
        <v>1384</v>
      </c>
      <c r="I365" t="s">
        <v>1390</v>
      </c>
      <c r="J365" t="s">
        <v>1393</v>
      </c>
      <c r="K365" t="s">
        <v>1399</v>
      </c>
      <c r="L365" t="s">
        <v>1649</v>
      </c>
      <c r="M365" s="3">
        <v>660.43</v>
      </c>
      <c r="N365">
        <v>8</v>
      </c>
      <c r="O365" s="3">
        <v>0.1</v>
      </c>
      <c r="P365" s="3">
        <v>55.05</v>
      </c>
      <c r="Q365" s="3">
        <f>Table1_1[[#This Row],[Sales]]/Table1_1[[#This Row],[Quantity]]</f>
        <v>82.553749999999994</v>
      </c>
    </row>
    <row r="366" spans="1:17" hidden="1" x14ac:dyDescent="0.3">
      <c r="A366" t="s">
        <v>379</v>
      </c>
      <c r="B366" s="2" t="e">
        <f t="shared" si="9"/>
        <v>#VALUE!</v>
      </c>
      <c r="C366" t="s">
        <v>1928</v>
      </c>
      <c r="D366" s="2">
        <v>45108</v>
      </c>
      <c r="E366" t="s">
        <v>1360</v>
      </c>
      <c r="F366" t="s">
        <v>1374</v>
      </c>
      <c r="G366" t="s">
        <v>1704</v>
      </c>
      <c r="H366" t="s">
        <v>1381</v>
      </c>
      <c r="I366" t="s">
        <v>1391</v>
      </c>
      <c r="J366" t="s">
        <v>1394</v>
      </c>
      <c r="K366" t="s">
        <v>1403</v>
      </c>
      <c r="L366" t="s">
        <v>1593</v>
      </c>
      <c r="M366" s="3">
        <v>986.91</v>
      </c>
      <c r="N366">
        <v>9</v>
      </c>
      <c r="O366" s="3">
        <v>0.15</v>
      </c>
      <c r="P366" s="3">
        <v>26.69</v>
      </c>
      <c r="Q366" s="3">
        <f>Table1_1[[#This Row],[Sales]]/Table1_1[[#This Row],[Quantity]]</f>
        <v>109.65666666666667</v>
      </c>
    </row>
    <row r="367" spans="1:17" hidden="1" x14ac:dyDescent="0.3">
      <c r="A367" t="s">
        <v>380</v>
      </c>
      <c r="B367" s="2" t="e">
        <f t="shared" si="9"/>
        <v>#VALUE!</v>
      </c>
      <c r="C367" t="s">
        <v>1929</v>
      </c>
      <c r="D367" s="2">
        <v>45201</v>
      </c>
      <c r="E367" t="s">
        <v>1365</v>
      </c>
      <c r="F367" t="s">
        <v>1375</v>
      </c>
      <c r="G367" t="s">
        <v>1379</v>
      </c>
      <c r="H367" t="s">
        <v>1384</v>
      </c>
      <c r="I367" t="s">
        <v>1389</v>
      </c>
      <c r="J367" t="s">
        <v>1394</v>
      </c>
      <c r="K367" t="s">
        <v>1398</v>
      </c>
      <c r="L367" t="s">
        <v>1456</v>
      </c>
      <c r="M367" s="3">
        <v>94.74</v>
      </c>
      <c r="N367">
        <v>9</v>
      </c>
      <c r="O367" s="3">
        <v>0.2</v>
      </c>
      <c r="P367" s="3">
        <v>-9.9499999999999993</v>
      </c>
      <c r="Q367" s="3">
        <f>Table1_1[[#This Row],[Sales]]/Table1_1[[#This Row],[Quantity]]</f>
        <v>10.526666666666666</v>
      </c>
    </row>
    <row r="368" spans="1:17" x14ac:dyDescent="0.3">
      <c r="A368" t="s">
        <v>381</v>
      </c>
      <c r="B368" s="2">
        <f t="shared" si="9"/>
        <v>44891</v>
      </c>
      <c r="C368" t="s">
        <v>1930</v>
      </c>
      <c r="D368" s="2">
        <v>44893</v>
      </c>
      <c r="E368" t="s">
        <v>1363</v>
      </c>
      <c r="F368" t="s">
        <v>1376</v>
      </c>
      <c r="G368" t="s">
        <v>1704</v>
      </c>
      <c r="H368" t="s">
        <v>1381</v>
      </c>
      <c r="I368" t="s">
        <v>1388</v>
      </c>
      <c r="J368" t="s">
        <v>1392</v>
      </c>
      <c r="K368" t="s">
        <v>1395</v>
      </c>
      <c r="L368" t="s">
        <v>1650</v>
      </c>
      <c r="M368" s="3">
        <v>797.49</v>
      </c>
      <c r="N368">
        <v>1</v>
      </c>
      <c r="O368" s="3">
        <v>0.1</v>
      </c>
      <c r="P368" s="3">
        <v>-88.27</v>
      </c>
      <c r="Q368" s="3">
        <f>Table1_1[[#This Row],[Sales]]/Table1_1[[#This Row],[Quantity]]</f>
        <v>797.49</v>
      </c>
    </row>
    <row r="369" spans="1:17" x14ac:dyDescent="0.3">
      <c r="A369" t="s">
        <v>382</v>
      </c>
      <c r="B369" s="2">
        <f t="shared" si="9"/>
        <v>45219</v>
      </c>
      <c r="C369" t="s">
        <v>1931</v>
      </c>
      <c r="D369" s="2">
        <v>45226</v>
      </c>
      <c r="E369" t="s">
        <v>1364</v>
      </c>
      <c r="F369" t="s">
        <v>1375</v>
      </c>
      <c r="G369" t="s">
        <v>1379</v>
      </c>
      <c r="H369" t="s">
        <v>1387</v>
      </c>
      <c r="I369" t="s">
        <v>1389</v>
      </c>
      <c r="J369" t="s">
        <v>1393</v>
      </c>
      <c r="K369" t="s">
        <v>1399</v>
      </c>
      <c r="L369" t="s">
        <v>1487</v>
      </c>
      <c r="M369" s="3">
        <v>640.47</v>
      </c>
      <c r="N369">
        <v>10</v>
      </c>
      <c r="O369" s="3">
        <v>0.15</v>
      </c>
      <c r="P369" s="3">
        <v>-112.38</v>
      </c>
      <c r="Q369" s="3">
        <f>Table1_1[[#This Row],[Sales]]/Table1_1[[#This Row],[Quantity]]</f>
        <v>64.046999999999997</v>
      </c>
    </row>
    <row r="370" spans="1:17" x14ac:dyDescent="0.3">
      <c r="A370" t="s">
        <v>383</v>
      </c>
      <c r="B370" s="2">
        <f t="shared" si="9"/>
        <v>45041</v>
      </c>
      <c r="C370" t="s">
        <v>1932</v>
      </c>
      <c r="D370" s="2">
        <v>45042</v>
      </c>
      <c r="E370" t="s">
        <v>1360</v>
      </c>
      <c r="F370" t="s">
        <v>1374</v>
      </c>
      <c r="G370" t="s">
        <v>1379</v>
      </c>
      <c r="H370" t="s">
        <v>1382</v>
      </c>
      <c r="I370" t="s">
        <v>1388</v>
      </c>
      <c r="J370" t="s">
        <v>1394</v>
      </c>
      <c r="K370" t="s">
        <v>1398</v>
      </c>
      <c r="L370" t="s">
        <v>1651</v>
      </c>
      <c r="M370" s="3">
        <v>897.3</v>
      </c>
      <c r="N370">
        <v>7</v>
      </c>
      <c r="O370" s="3">
        <v>0.15</v>
      </c>
      <c r="P370" s="3">
        <v>176.88</v>
      </c>
      <c r="Q370" s="3">
        <f>Table1_1[[#This Row],[Sales]]/Table1_1[[#This Row],[Quantity]]</f>
        <v>128.18571428571428</v>
      </c>
    </row>
    <row r="371" spans="1:17" x14ac:dyDescent="0.3">
      <c r="A371" t="s">
        <v>384</v>
      </c>
      <c r="B371" s="2">
        <f t="shared" si="9"/>
        <v>44641</v>
      </c>
      <c r="C371" t="s">
        <v>1768</v>
      </c>
      <c r="D371" s="2">
        <v>44645</v>
      </c>
      <c r="E371" t="s">
        <v>1364</v>
      </c>
      <c r="F371" t="s">
        <v>1375</v>
      </c>
      <c r="G371" t="s">
        <v>1704</v>
      </c>
      <c r="H371" t="s">
        <v>1383</v>
      </c>
      <c r="I371" t="s">
        <v>1389</v>
      </c>
      <c r="J371" t="s">
        <v>1393</v>
      </c>
      <c r="K371" t="s">
        <v>1400</v>
      </c>
      <c r="L371" t="s">
        <v>1652</v>
      </c>
      <c r="M371" s="3">
        <v>139.44999999999999</v>
      </c>
      <c r="N371">
        <v>4</v>
      </c>
      <c r="O371" s="3">
        <v>0</v>
      </c>
      <c r="P371" s="3">
        <v>-1.02</v>
      </c>
      <c r="Q371" s="3">
        <f>Table1_1[[#This Row],[Sales]]/Table1_1[[#This Row],[Quantity]]</f>
        <v>34.862499999999997</v>
      </c>
    </row>
    <row r="372" spans="1:17" x14ac:dyDescent="0.3">
      <c r="A372" t="s">
        <v>385</v>
      </c>
      <c r="B372" s="2">
        <f t="shared" si="9"/>
        <v>44670</v>
      </c>
      <c r="C372" t="s">
        <v>1933</v>
      </c>
      <c r="D372" s="2">
        <v>44680</v>
      </c>
      <c r="E372" t="s">
        <v>1360</v>
      </c>
      <c r="F372" t="s">
        <v>1374</v>
      </c>
      <c r="G372" t="s">
        <v>1379</v>
      </c>
      <c r="H372" t="s">
        <v>1382</v>
      </c>
      <c r="I372" t="s">
        <v>1390</v>
      </c>
      <c r="J372" t="s">
        <v>1394</v>
      </c>
      <c r="K372" t="s">
        <v>1398</v>
      </c>
      <c r="L372" t="s">
        <v>1408</v>
      </c>
      <c r="M372" s="3">
        <v>561.29</v>
      </c>
      <c r="N372">
        <v>7</v>
      </c>
      <c r="O372" s="3">
        <v>0</v>
      </c>
      <c r="P372" s="3">
        <v>-65.44</v>
      </c>
      <c r="Q372" s="3">
        <f>Table1_1[[#This Row],[Sales]]/Table1_1[[#This Row],[Quantity]]</f>
        <v>80.184285714285707</v>
      </c>
    </row>
    <row r="373" spans="1:17" x14ac:dyDescent="0.3">
      <c r="A373" t="s">
        <v>386</v>
      </c>
      <c r="B373" s="2">
        <f t="shared" si="9"/>
        <v>45116</v>
      </c>
      <c r="C373" t="s">
        <v>1732</v>
      </c>
      <c r="D373" s="2">
        <v>45184</v>
      </c>
      <c r="E373" t="s">
        <v>1365</v>
      </c>
      <c r="F373" t="s">
        <v>1376</v>
      </c>
      <c r="G373" t="s">
        <v>1704</v>
      </c>
      <c r="H373" t="s">
        <v>1383</v>
      </c>
      <c r="I373" t="s">
        <v>1390</v>
      </c>
      <c r="J373" t="s">
        <v>1394</v>
      </c>
      <c r="K373" t="s">
        <v>1403</v>
      </c>
      <c r="L373" t="s">
        <v>1653</v>
      </c>
      <c r="M373" s="3">
        <v>669.1</v>
      </c>
      <c r="N373">
        <v>6</v>
      </c>
      <c r="O373" s="3">
        <v>0.15</v>
      </c>
      <c r="P373" s="3">
        <v>4.13</v>
      </c>
      <c r="Q373" s="3">
        <f>Table1_1[[#This Row],[Sales]]/Table1_1[[#This Row],[Quantity]]</f>
        <v>111.51666666666667</v>
      </c>
    </row>
    <row r="374" spans="1:17" x14ac:dyDescent="0.3">
      <c r="A374" t="s">
        <v>387</v>
      </c>
      <c r="B374" s="2">
        <f t="shared" si="9"/>
        <v>45346</v>
      </c>
      <c r="C374" t="s">
        <v>1934</v>
      </c>
      <c r="D374" s="2">
        <v>45355</v>
      </c>
      <c r="E374" t="s">
        <v>1366</v>
      </c>
      <c r="F374" t="s">
        <v>1374</v>
      </c>
      <c r="G374" t="s">
        <v>1379</v>
      </c>
      <c r="H374" t="s">
        <v>1383</v>
      </c>
      <c r="I374" t="s">
        <v>1390</v>
      </c>
      <c r="J374" t="s">
        <v>1393</v>
      </c>
      <c r="K374" t="s">
        <v>1399</v>
      </c>
      <c r="L374" t="s">
        <v>1654</v>
      </c>
      <c r="M374" s="3">
        <v>444.81</v>
      </c>
      <c r="N374">
        <v>8</v>
      </c>
      <c r="O374" s="3">
        <v>0.2</v>
      </c>
      <c r="P374" s="3">
        <v>124.51</v>
      </c>
      <c r="Q374" s="3">
        <f>Table1_1[[#This Row],[Sales]]/Table1_1[[#This Row],[Quantity]]</f>
        <v>55.60125</v>
      </c>
    </row>
    <row r="375" spans="1:17" x14ac:dyDescent="0.3">
      <c r="A375" t="s">
        <v>388</v>
      </c>
      <c r="B375" s="2">
        <f t="shared" si="9"/>
        <v>44743</v>
      </c>
      <c r="C375" t="s">
        <v>1935</v>
      </c>
      <c r="D375" s="2">
        <v>44573</v>
      </c>
      <c r="E375" t="s">
        <v>1364</v>
      </c>
      <c r="F375" t="s">
        <v>1374</v>
      </c>
      <c r="G375" t="s">
        <v>1704</v>
      </c>
      <c r="H375" t="s">
        <v>1381</v>
      </c>
      <c r="I375" t="s">
        <v>1388</v>
      </c>
      <c r="J375" t="s">
        <v>1392</v>
      </c>
      <c r="K375" t="s">
        <v>1401</v>
      </c>
      <c r="L375" t="s">
        <v>1484</v>
      </c>
      <c r="M375" s="3">
        <v>1029.75</v>
      </c>
      <c r="N375">
        <v>1</v>
      </c>
      <c r="O375" s="3">
        <v>0.15</v>
      </c>
      <c r="P375" s="3">
        <v>267.27999999999997</v>
      </c>
      <c r="Q375" s="3">
        <f>Table1_1[[#This Row],[Sales]]/Table1_1[[#This Row],[Quantity]]</f>
        <v>1029.75</v>
      </c>
    </row>
    <row r="376" spans="1:17" x14ac:dyDescent="0.3">
      <c r="A376" t="s">
        <v>389</v>
      </c>
      <c r="B376" s="2">
        <f t="shared" si="9"/>
        <v>44926</v>
      </c>
      <c r="C376" t="s">
        <v>869</v>
      </c>
      <c r="D376" s="2">
        <v>44929</v>
      </c>
      <c r="E376" t="s">
        <v>1361</v>
      </c>
      <c r="F376" t="s">
        <v>1376</v>
      </c>
      <c r="G376" t="s">
        <v>1704</v>
      </c>
      <c r="H376" t="s">
        <v>1382</v>
      </c>
      <c r="I376" t="s">
        <v>1388</v>
      </c>
      <c r="J376" t="s">
        <v>1392</v>
      </c>
      <c r="K376" t="s">
        <v>1397</v>
      </c>
      <c r="L376" t="s">
        <v>1632</v>
      </c>
      <c r="M376" s="3">
        <v>453.16</v>
      </c>
      <c r="N376">
        <v>10</v>
      </c>
      <c r="O376" s="3">
        <v>0.1</v>
      </c>
      <c r="P376" s="3">
        <v>-37.840000000000003</v>
      </c>
      <c r="Q376" s="3">
        <f>Table1_1[[#This Row],[Sales]]/Table1_1[[#This Row],[Quantity]]</f>
        <v>45.316000000000003</v>
      </c>
    </row>
    <row r="377" spans="1:17" x14ac:dyDescent="0.3">
      <c r="A377" t="s">
        <v>390</v>
      </c>
      <c r="B377" s="2">
        <f t="shared" si="9"/>
        <v>44894</v>
      </c>
      <c r="C377" t="s">
        <v>870</v>
      </c>
      <c r="D377" s="2">
        <v>44902</v>
      </c>
      <c r="E377" t="s">
        <v>1361</v>
      </c>
      <c r="F377" t="s">
        <v>1374</v>
      </c>
      <c r="G377" t="s">
        <v>1704</v>
      </c>
      <c r="H377" t="s">
        <v>1381</v>
      </c>
      <c r="I377" t="s">
        <v>1388</v>
      </c>
      <c r="J377" t="s">
        <v>1392</v>
      </c>
      <c r="K377" t="s">
        <v>1397</v>
      </c>
      <c r="L377" t="s">
        <v>1504</v>
      </c>
      <c r="M377" s="3">
        <v>994.33</v>
      </c>
      <c r="N377">
        <v>10</v>
      </c>
      <c r="O377" s="3">
        <v>0</v>
      </c>
      <c r="P377" s="3">
        <v>97.06</v>
      </c>
      <c r="Q377" s="3">
        <f>Table1_1[[#This Row],[Sales]]/Table1_1[[#This Row],[Quantity]]</f>
        <v>99.433000000000007</v>
      </c>
    </row>
    <row r="378" spans="1:17" x14ac:dyDescent="0.3">
      <c r="A378" t="s">
        <v>391</v>
      </c>
      <c r="B378" s="2">
        <f t="shared" si="9"/>
        <v>44816</v>
      </c>
      <c r="C378" t="s">
        <v>1936</v>
      </c>
      <c r="D378" s="2">
        <v>44910</v>
      </c>
      <c r="E378" t="s">
        <v>1361</v>
      </c>
      <c r="F378" t="s">
        <v>1374</v>
      </c>
      <c r="G378" t="s">
        <v>1704</v>
      </c>
      <c r="H378" t="s">
        <v>1381</v>
      </c>
      <c r="I378" t="s">
        <v>1391</v>
      </c>
      <c r="J378" t="s">
        <v>1394</v>
      </c>
      <c r="K378" t="s">
        <v>1403</v>
      </c>
      <c r="L378" t="s">
        <v>1655</v>
      </c>
      <c r="M378" s="3">
        <v>1117.69</v>
      </c>
      <c r="N378">
        <v>2</v>
      </c>
      <c r="O378" s="3">
        <v>0.1</v>
      </c>
      <c r="P378" s="3">
        <v>194.3</v>
      </c>
      <c r="Q378" s="3">
        <f>Table1_1[[#This Row],[Sales]]/Table1_1[[#This Row],[Quantity]]</f>
        <v>558.84500000000003</v>
      </c>
    </row>
    <row r="379" spans="1:17" x14ac:dyDescent="0.3">
      <c r="A379" t="s">
        <v>392</v>
      </c>
      <c r="B379" s="2">
        <f t="shared" si="9"/>
        <v>44897</v>
      </c>
      <c r="C379" t="s">
        <v>1937</v>
      </c>
      <c r="D379" s="2">
        <v>44610</v>
      </c>
      <c r="E379" t="s">
        <v>1373</v>
      </c>
      <c r="F379" t="s">
        <v>1374</v>
      </c>
      <c r="G379" t="s">
        <v>1379</v>
      </c>
      <c r="H379" t="s">
        <v>1387</v>
      </c>
      <c r="I379" t="s">
        <v>1389</v>
      </c>
      <c r="J379" t="s">
        <v>1393</v>
      </c>
      <c r="K379" t="s">
        <v>1396</v>
      </c>
      <c r="L379" t="s">
        <v>1656</v>
      </c>
      <c r="M379" s="3">
        <v>196.5</v>
      </c>
      <c r="N379">
        <v>9</v>
      </c>
      <c r="O379" s="3">
        <v>0.1</v>
      </c>
      <c r="P379" s="3">
        <v>-24.25</v>
      </c>
      <c r="Q379" s="3">
        <f>Table1_1[[#This Row],[Sales]]/Table1_1[[#This Row],[Quantity]]</f>
        <v>21.833333333333332</v>
      </c>
    </row>
    <row r="380" spans="1:17" hidden="1" x14ac:dyDescent="0.3">
      <c r="A380" t="s">
        <v>393</v>
      </c>
      <c r="B380" s="2" t="e">
        <f t="shared" si="9"/>
        <v>#VALUE!</v>
      </c>
      <c r="C380" t="s">
        <v>1888</v>
      </c>
      <c r="D380" s="2">
        <v>45374</v>
      </c>
      <c r="E380" t="s">
        <v>1373</v>
      </c>
      <c r="F380" t="s">
        <v>1375</v>
      </c>
      <c r="G380" t="s">
        <v>1704</v>
      </c>
      <c r="H380" t="s">
        <v>1383</v>
      </c>
      <c r="I380" t="s">
        <v>1389</v>
      </c>
      <c r="J380" t="s">
        <v>1392</v>
      </c>
      <c r="K380" t="s">
        <v>1401</v>
      </c>
      <c r="L380" t="s">
        <v>1610</v>
      </c>
      <c r="M380" s="3">
        <v>416.68</v>
      </c>
      <c r="N380">
        <v>8</v>
      </c>
      <c r="O380" s="3">
        <v>0</v>
      </c>
      <c r="P380" s="3">
        <v>71.94</v>
      </c>
      <c r="Q380" s="3">
        <f>Table1_1[[#This Row],[Sales]]/Table1_1[[#This Row],[Quantity]]</f>
        <v>52.085000000000001</v>
      </c>
    </row>
    <row r="381" spans="1:17" x14ac:dyDescent="0.3">
      <c r="A381" t="s">
        <v>394</v>
      </c>
      <c r="B381" s="2">
        <f t="shared" si="9"/>
        <v>45276</v>
      </c>
      <c r="C381" t="s">
        <v>1938</v>
      </c>
      <c r="D381" s="2">
        <v>45279</v>
      </c>
      <c r="E381" t="s">
        <v>1364</v>
      </c>
      <c r="F381" t="s">
        <v>1374</v>
      </c>
      <c r="G381" t="s">
        <v>1704</v>
      </c>
      <c r="H381" t="s">
        <v>1387</v>
      </c>
      <c r="I381" t="s">
        <v>1388</v>
      </c>
      <c r="J381" t="s">
        <v>1392</v>
      </c>
      <c r="K381" t="s">
        <v>1397</v>
      </c>
      <c r="L381" t="s">
        <v>1555</v>
      </c>
      <c r="M381" s="3">
        <v>679.97</v>
      </c>
      <c r="N381">
        <v>8</v>
      </c>
      <c r="O381" s="3">
        <v>0.2</v>
      </c>
      <c r="P381" s="3">
        <v>85.76</v>
      </c>
      <c r="Q381" s="3">
        <f>Table1_1[[#This Row],[Sales]]/Table1_1[[#This Row],[Quantity]]</f>
        <v>84.996250000000003</v>
      </c>
    </row>
    <row r="382" spans="1:17" x14ac:dyDescent="0.3">
      <c r="A382" t="s">
        <v>395</v>
      </c>
      <c r="B382" s="2">
        <f t="shared" si="9"/>
        <v>45357</v>
      </c>
      <c r="C382" t="s">
        <v>874</v>
      </c>
      <c r="D382" s="2">
        <v>45364</v>
      </c>
      <c r="E382" t="s">
        <v>1372</v>
      </c>
      <c r="F382" t="s">
        <v>1375</v>
      </c>
      <c r="G382" t="s">
        <v>1379</v>
      </c>
      <c r="H382" t="s">
        <v>1384</v>
      </c>
      <c r="I382" t="s">
        <v>1388</v>
      </c>
      <c r="J382" t="s">
        <v>1394</v>
      </c>
      <c r="K382" t="s">
        <v>1398</v>
      </c>
      <c r="L382" t="s">
        <v>1657</v>
      </c>
      <c r="M382" s="3">
        <v>1110.48</v>
      </c>
      <c r="N382">
        <v>2</v>
      </c>
      <c r="O382" s="3">
        <v>0</v>
      </c>
      <c r="P382" s="3">
        <v>150.88999999999999</v>
      </c>
      <c r="Q382" s="3">
        <f>Table1_1[[#This Row],[Sales]]/Table1_1[[#This Row],[Quantity]]</f>
        <v>555.24</v>
      </c>
    </row>
    <row r="383" spans="1:17" x14ac:dyDescent="0.3">
      <c r="A383" t="s">
        <v>396</v>
      </c>
      <c r="B383" s="2">
        <f t="shared" si="9"/>
        <v>44874</v>
      </c>
      <c r="C383" t="s">
        <v>1939</v>
      </c>
      <c r="D383" s="2">
        <v>44877</v>
      </c>
      <c r="E383" t="s">
        <v>1363</v>
      </c>
      <c r="F383" t="s">
        <v>1374</v>
      </c>
      <c r="G383" t="s">
        <v>1379</v>
      </c>
      <c r="H383" t="s">
        <v>1387</v>
      </c>
      <c r="I383" t="s">
        <v>1388</v>
      </c>
      <c r="J383" t="s">
        <v>1394</v>
      </c>
      <c r="K383" t="s">
        <v>1398</v>
      </c>
      <c r="L383" t="s">
        <v>1658</v>
      </c>
      <c r="M383" s="3">
        <v>989.47</v>
      </c>
      <c r="N383">
        <v>8</v>
      </c>
      <c r="O383" s="3">
        <v>0</v>
      </c>
      <c r="P383" s="3">
        <v>-125.75</v>
      </c>
      <c r="Q383" s="3">
        <f>Table1_1[[#This Row],[Sales]]/Table1_1[[#This Row],[Quantity]]</f>
        <v>123.68375</v>
      </c>
    </row>
    <row r="384" spans="1:17" x14ac:dyDescent="0.3">
      <c r="A384" t="s">
        <v>397</v>
      </c>
      <c r="B384" s="2">
        <f t="shared" si="9"/>
        <v>45319</v>
      </c>
      <c r="C384" t="s">
        <v>1940</v>
      </c>
      <c r="D384" s="2">
        <v>45320</v>
      </c>
      <c r="E384" t="s">
        <v>1372</v>
      </c>
      <c r="F384" t="s">
        <v>1376</v>
      </c>
      <c r="G384" t="s">
        <v>1379</v>
      </c>
      <c r="H384" t="s">
        <v>1384</v>
      </c>
      <c r="I384" t="s">
        <v>1390</v>
      </c>
      <c r="J384" t="s">
        <v>1392</v>
      </c>
      <c r="K384" t="s">
        <v>1395</v>
      </c>
      <c r="L384" t="s">
        <v>1659</v>
      </c>
      <c r="M384" s="3">
        <v>1113.54</v>
      </c>
      <c r="N384">
        <v>5</v>
      </c>
      <c r="O384" s="3">
        <v>0</v>
      </c>
      <c r="P384" s="3">
        <v>-31.58</v>
      </c>
      <c r="Q384" s="3">
        <f>Table1_1[[#This Row],[Sales]]/Table1_1[[#This Row],[Quantity]]</f>
        <v>222.708</v>
      </c>
    </row>
    <row r="385" spans="1:17" x14ac:dyDescent="0.3">
      <c r="A385" t="s">
        <v>398</v>
      </c>
      <c r="B385" s="2">
        <f t="shared" si="9"/>
        <v>45053</v>
      </c>
      <c r="C385" t="s">
        <v>1941</v>
      </c>
      <c r="D385" s="2">
        <v>45116</v>
      </c>
      <c r="E385" t="s">
        <v>1370</v>
      </c>
      <c r="F385" t="s">
        <v>1374</v>
      </c>
      <c r="G385" t="s">
        <v>1379</v>
      </c>
      <c r="H385" t="s">
        <v>1385</v>
      </c>
      <c r="I385" t="s">
        <v>1388</v>
      </c>
      <c r="J385" t="s">
        <v>1392</v>
      </c>
      <c r="K385" t="s">
        <v>1395</v>
      </c>
      <c r="L385" t="s">
        <v>1660</v>
      </c>
      <c r="M385" s="3">
        <v>637.45000000000005</v>
      </c>
      <c r="N385">
        <v>5</v>
      </c>
      <c r="O385" s="3">
        <v>0</v>
      </c>
      <c r="P385" s="3">
        <v>26.46</v>
      </c>
      <c r="Q385" s="3">
        <f>Table1_1[[#This Row],[Sales]]/Table1_1[[#This Row],[Quantity]]</f>
        <v>127.49000000000001</v>
      </c>
    </row>
    <row r="386" spans="1:17" hidden="1" x14ac:dyDescent="0.3">
      <c r="A386" t="s">
        <v>399</v>
      </c>
      <c r="B386" s="2" t="e">
        <f t="shared" ref="B386:B449" si="10">DATEVALUE(C386)</f>
        <v>#VALUE!</v>
      </c>
      <c r="C386" t="s">
        <v>1849</v>
      </c>
      <c r="D386" s="2">
        <v>44737</v>
      </c>
      <c r="E386" t="s">
        <v>1369</v>
      </c>
      <c r="F386" t="s">
        <v>1376</v>
      </c>
      <c r="G386" t="s">
        <v>1379</v>
      </c>
      <c r="H386" t="s">
        <v>1382</v>
      </c>
      <c r="I386" t="s">
        <v>1391</v>
      </c>
      <c r="J386" t="s">
        <v>1394</v>
      </c>
      <c r="K386" t="s">
        <v>1402</v>
      </c>
      <c r="L386" t="s">
        <v>1513</v>
      </c>
      <c r="M386" s="3">
        <v>951.24</v>
      </c>
      <c r="N386">
        <v>10</v>
      </c>
      <c r="O386" s="3">
        <v>0.15</v>
      </c>
      <c r="P386" s="3">
        <v>-165</v>
      </c>
      <c r="Q386" s="3">
        <f>Table1_1[[#This Row],[Sales]]/Table1_1[[#This Row],[Quantity]]</f>
        <v>95.123999999999995</v>
      </c>
    </row>
    <row r="387" spans="1:17" x14ac:dyDescent="0.3">
      <c r="A387" t="s">
        <v>400</v>
      </c>
      <c r="B387" s="2">
        <f t="shared" si="10"/>
        <v>44581</v>
      </c>
      <c r="C387" t="s">
        <v>1942</v>
      </c>
      <c r="D387" s="2">
        <v>44586</v>
      </c>
      <c r="E387" t="s">
        <v>1372</v>
      </c>
      <c r="F387" t="s">
        <v>1374</v>
      </c>
      <c r="G387" t="s">
        <v>1379</v>
      </c>
      <c r="H387" t="s">
        <v>1387</v>
      </c>
      <c r="I387" t="s">
        <v>1390</v>
      </c>
      <c r="J387" t="s">
        <v>1393</v>
      </c>
      <c r="K387" t="s">
        <v>1399</v>
      </c>
      <c r="L387" t="s">
        <v>1661</v>
      </c>
      <c r="M387" s="3">
        <v>292.77999999999997</v>
      </c>
      <c r="N387">
        <v>7</v>
      </c>
      <c r="O387" s="3">
        <v>0</v>
      </c>
      <c r="P387" s="3">
        <v>84.41</v>
      </c>
      <c r="Q387" s="3">
        <f>Table1_1[[#This Row],[Sales]]/Table1_1[[#This Row],[Quantity]]</f>
        <v>41.825714285714284</v>
      </c>
    </row>
    <row r="388" spans="1:17" x14ac:dyDescent="0.3">
      <c r="A388" t="s">
        <v>401</v>
      </c>
      <c r="B388" s="2">
        <f t="shared" si="10"/>
        <v>45030</v>
      </c>
      <c r="C388" t="s">
        <v>879</v>
      </c>
      <c r="D388" s="2">
        <v>45039</v>
      </c>
      <c r="E388" t="s">
        <v>1363</v>
      </c>
      <c r="F388" t="s">
        <v>1376</v>
      </c>
      <c r="G388" t="s">
        <v>1379</v>
      </c>
      <c r="H388" t="s">
        <v>1384</v>
      </c>
      <c r="I388" t="s">
        <v>1391</v>
      </c>
      <c r="J388" t="s">
        <v>1393</v>
      </c>
      <c r="K388" t="s">
        <v>1400</v>
      </c>
      <c r="L388" t="s">
        <v>1662</v>
      </c>
      <c r="M388" s="3">
        <v>66.91</v>
      </c>
      <c r="N388">
        <v>9</v>
      </c>
      <c r="O388" s="3">
        <v>0.15</v>
      </c>
      <c r="P388" s="3">
        <v>-2.2200000000000002</v>
      </c>
      <c r="Q388" s="3">
        <f>Table1_1[[#This Row],[Sales]]/Table1_1[[#This Row],[Quantity]]</f>
        <v>7.434444444444444</v>
      </c>
    </row>
    <row r="389" spans="1:17" x14ac:dyDescent="0.3">
      <c r="A389" t="s">
        <v>402</v>
      </c>
      <c r="B389" s="2">
        <f t="shared" si="10"/>
        <v>45075</v>
      </c>
      <c r="C389" t="s">
        <v>880</v>
      </c>
      <c r="D389" s="2">
        <v>45080</v>
      </c>
      <c r="E389" t="s">
        <v>1363</v>
      </c>
      <c r="F389" t="s">
        <v>1376</v>
      </c>
      <c r="G389" t="s">
        <v>1704</v>
      </c>
      <c r="H389" t="s">
        <v>1382</v>
      </c>
      <c r="I389" t="s">
        <v>1390</v>
      </c>
      <c r="J389" t="s">
        <v>1392</v>
      </c>
      <c r="K389" t="s">
        <v>1395</v>
      </c>
      <c r="L389" t="s">
        <v>1404</v>
      </c>
      <c r="M389" s="3">
        <v>324.06</v>
      </c>
      <c r="N389">
        <v>7</v>
      </c>
      <c r="O389" s="3">
        <v>0</v>
      </c>
      <c r="P389" s="3">
        <v>88.17</v>
      </c>
      <c r="Q389" s="3">
        <f>Table1_1[[#This Row],[Sales]]/Table1_1[[#This Row],[Quantity]]</f>
        <v>46.294285714285714</v>
      </c>
    </row>
    <row r="390" spans="1:17" x14ac:dyDescent="0.3">
      <c r="A390" t="s">
        <v>403</v>
      </c>
      <c r="B390" s="2">
        <f t="shared" si="10"/>
        <v>45309</v>
      </c>
      <c r="C390" t="s">
        <v>1943</v>
      </c>
      <c r="D390" s="2">
        <v>45316</v>
      </c>
      <c r="E390" t="s">
        <v>1373</v>
      </c>
      <c r="F390" t="s">
        <v>1374</v>
      </c>
      <c r="G390" t="s">
        <v>1379</v>
      </c>
      <c r="H390" t="s">
        <v>1385</v>
      </c>
      <c r="I390" t="s">
        <v>1390</v>
      </c>
      <c r="J390" t="s">
        <v>1393</v>
      </c>
      <c r="K390" t="s">
        <v>1396</v>
      </c>
      <c r="L390" t="s">
        <v>1663</v>
      </c>
      <c r="M390" s="3">
        <v>742.69</v>
      </c>
      <c r="N390">
        <v>4</v>
      </c>
      <c r="O390" s="3">
        <v>0.2</v>
      </c>
      <c r="P390" s="3">
        <v>-59.28</v>
      </c>
      <c r="Q390" s="3">
        <f>Table1_1[[#This Row],[Sales]]/Table1_1[[#This Row],[Quantity]]</f>
        <v>185.67250000000001</v>
      </c>
    </row>
    <row r="391" spans="1:17" hidden="1" x14ac:dyDescent="0.3">
      <c r="A391" t="s">
        <v>404</v>
      </c>
      <c r="B391" s="2" t="e">
        <f t="shared" si="10"/>
        <v>#VALUE!</v>
      </c>
      <c r="C391" t="s">
        <v>1944</v>
      </c>
      <c r="D391" s="2">
        <v>45233</v>
      </c>
      <c r="E391" t="s">
        <v>1359</v>
      </c>
      <c r="F391" t="s">
        <v>1376</v>
      </c>
      <c r="G391" t="s">
        <v>1704</v>
      </c>
      <c r="H391" t="s">
        <v>1382</v>
      </c>
      <c r="I391" t="s">
        <v>1390</v>
      </c>
      <c r="J391" t="s">
        <v>1393</v>
      </c>
      <c r="K391" t="s">
        <v>1396</v>
      </c>
      <c r="L391" t="s">
        <v>1664</v>
      </c>
      <c r="M391" s="3">
        <v>827.18</v>
      </c>
      <c r="N391">
        <v>4</v>
      </c>
      <c r="O391" s="3">
        <v>0.1</v>
      </c>
      <c r="P391" s="3">
        <v>-37.64</v>
      </c>
      <c r="Q391" s="3">
        <f>Table1_1[[#This Row],[Sales]]/Table1_1[[#This Row],[Quantity]]</f>
        <v>206.79499999999999</v>
      </c>
    </row>
    <row r="392" spans="1:17" x14ac:dyDescent="0.3">
      <c r="A392" t="s">
        <v>405</v>
      </c>
      <c r="B392" s="2">
        <f t="shared" si="10"/>
        <v>44631</v>
      </c>
      <c r="C392" t="s">
        <v>883</v>
      </c>
      <c r="D392" s="2">
        <v>44640</v>
      </c>
      <c r="E392" t="s">
        <v>1373</v>
      </c>
      <c r="F392" t="s">
        <v>1376</v>
      </c>
      <c r="G392" t="s">
        <v>1704</v>
      </c>
      <c r="H392" t="s">
        <v>1382</v>
      </c>
      <c r="I392" t="s">
        <v>1391</v>
      </c>
      <c r="J392" t="s">
        <v>1393</v>
      </c>
      <c r="K392" t="s">
        <v>1396</v>
      </c>
      <c r="L392" t="s">
        <v>1665</v>
      </c>
      <c r="M392" s="3">
        <v>159.69999999999999</v>
      </c>
      <c r="N392">
        <v>6</v>
      </c>
      <c r="O392" s="3">
        <v>0.1</v>
      </c>
      <c r="P392" s="3">
        <v>26.12</v>
      </c>
      <c r="Q392" s="3">
        <f>Table1_1[[#This Row],[Sales]]/Table1_1[[#This Row],[Quantity]]</f>
        <v>26.616666666666664</v>
      </c>
    </row>
    <row r="393" spans="1:17" x14ac:dyDescent="0.3">
      <c r="A393" t="s">
        <v>406</v>
      </c>
      <c r="B393" s="2">
        <f t="shared" si="10"/>
        <v>45507</v>
      </c>
      <c r="C393" t="s">
        <v>1945</v>
      </c>
      <c r="D393" s="2">
        <v>45363</v>
      </c>
      <c r="E393" t="s">
        <v>1359</v>
      </c>
      <c r="F393" t="s">
        <v>1374</v>
      </c>
      <c r="G393" t="s">
        <v>1704</v>
      </c>
      <c r="H393" t="s">
        <v>1387</v>
      </c>
      <c r="I393" t="s">
        <v>1388</v>
      </c>
      <c r="J393" t="s">
        <v>1392</v>
      </c>
      <c r="K393" t="s">
        <v>1401</v>
      </c>
      <c r="L393" t="s">
        <v>1666</v>
      </c>
      <c r="M393" s="3">
        <v>238</v>
      </c>
      <c r="N393">
        <v>10</v>
      </c>
      <c r="O393" s="3">
        <v>0</v>
      </c>
      <c r="P393" s="3">
        <v>-15.84</v>
      </c>
      <c r="Q393" s="3">
        <f>Table1_1[[#This Row],[Sales]]/Table1_1[[#This Row],[Quantity]]</f>
        <v>23.8</v>
      </c>
    </row>
    <row r="394" spans="1:17" x14ac:dyDescent="0.3">
      <c r="A394" t="s">
        <v>407</v>
      </c>
      <c r="B394" s="2">
        <f t="shared" si="10"/>
        <v>44643</v>
      </c>
      <c r="C394" t="s">
        <v>827</v>
      </c>
      <c r="D394" s="2">
        <v>44651</v>
      </c>
      <c r="E394" t="s">
        <v>1373</v>
      </c>
      <c r="F394" t="s">
        <v>1375</v>
      </c>
      <c r="G394" t="s">
        <v>1704</v>
      </c>
      <c r="H394" t="s">
        <v>1387</v>
      </c>
      <c r="I394" t="s">
        <v>1390</v>
      </c>
      <c r="J394" t="s">
        <v>1392</v>
      </c>
      <c r="K394" t="s">
        <v>1395</v>
      </c>
      <c r="L394" t="s">
        <v>1501</v>
      </c>
      <c r="M394" s="3">
        <v>1018.44</v>
      </c>
      <c r="N394">
        <v>8</v>
      </c>
      <c r="O394" s="3">
        <v>0.15</v>
      </c>
      <c r="P394" s="3">
        <v>-110</v>
      </c>
      <c r="Q394" s="3">
        <f>Table1_1[[#This Row],[Sales]]/Table1_1[[#This Row],[Quantity]]</f>
        <v>127.30500000000001</v>
      </c>
    </row>
    <row r="395" spans="1:17" x14ac:dyDescent="0.3">
      <c r="A395" t="s">
        <v>408</v>
      </c>
      <c r="B395" s="2">
        <f t="shared" si="10"/>
        <v>44980</v>
      </c>
      <c r="C395" t="s">
        <v>669</v>
      </c>
      <c r="D395" s="2">
        <v>44981</v>
      </c>
      <c r="E395" t="s">
        <v>1360</v>
      </c>
      <c r="F395" t="s">
        <v>1374</v>
      </c>
      <c r="G395" t="s">
        <v>1379</v>
      </c>
      <c r="H395" t="s">
        <v>1386</v>
      </c>
      <c r="I395" t="s">
        <v>1389</v>
      </c>
      <c r="J395" t="s">
        <v>1394</v>
      </c>
      <c r="K395" t="s">
        <v>1403</v>
      </c>
      <c r="L395" t="s">
        <v>1636</v>
      </c>
      <c r="M395" s="3">
        <v>282.61</v>
      </c>
      <c r="N395">
        <v>4</v>
      </c>
      <c r="O395" s="3">
        <v>0.1</v>
      </c>
      <c r="P395" s="3">
        <v>-47.18</v>
      </c>
      <c r="Q395" s="3">
        <f>Table1_1[[#This Row],[Sales]]/Table1_1[[#This Row],[Quantity]]</f>
        <v>70.652500000000003</v>
      </c>
    </row>
    <row r="396" spans="1:17" hidden="1" x14ac:dyDescent="0.3">
      <c r="A396" t="s">
        <v>409</v>
      </c>
      <c r="B396" s="2" t="e">
        <f t="shared" si="10"/>
        <v>#VALUE!</v>
      </c>
      <c r="C396" t="s">
        <v>1946</v>
      </c>
      <c r="D396" s="2">
        <v>45006</v>
      </c>
      <c r="E396" t="s">
        <v>1364</v>
      </c>
      <c r="F396" t="s">
        <v>1374</v>
      </c>
      <c r="G396" t="s">
        <v>1379</v>
      </c>
      <c r="H396" t="s">
        <v>1383</v>
      </c>
      <c r="I396" t="s">
        <v>1388</v>
      </c>
      <c r="J396" t="s">
        <v>1392</v>
      </c>
      <c r="K396" t="s">
        <v>1395</v>
      </c>
      <c r="L396" t="s">
        <v>1616</v>
      </c>
      <c r="M396" s="3">
        <v>887.69</v>
      </c>
      <c r="N396">
        <v>7</v>
      </c>
      <c r="O396" s="3">
        <v>0.15</v>
      </c>
      <c r="P396" s="3">
        <v>-2.6</v>
      </c>
      <c r="Q396" s="3">
        <f>Table1_1[[#This Row],[Sales]]/Table1_1[[#This Row],[Quantity]]</f>
        <v>126.81285714285715</v>
      </c>
    </row>
    <row r="397" spans="1:17" hidden="1" x14ac:dyDescent="0.3">
      <c r="A397" t="s">
        <v>410</v>
      </c>
      <c r="B397" s="2" t="e">
        <f t="shared" si="10"/>
        <v>#VALUE!</v>
      </c>
      <c r="C397" t="s">
        <v>1869</v>
      </c>
      <c r="D397" s="2">
        <v>45030</v>
      </c>
      <c r="E397" t="s">
        <v>1369</v>
      </c>
      <c r="F397" t="s">
        <v>1376</v>
      </c>
      <c r="G397" t="s">
        <v>1704</v>
      </c>
      <c r="H397" t="s">
        <v>1385</v>
      </c>
      <c r="I397" t="s">
        <v>1391</v>
      </c>
      <c r="J397" t="s">
        <v>1392</v>
      </c>
      <c r="K397" t="s">
        <v>1395</v>
      </c>
      <c r="L397" t="s">
        <v>1478</v>
      </c>
      <c r="M397" s="3">
        <v>654.69000000000005</v>
      </c>
      <c r="N397">
        <v>1</v>
      </c>
      <c r="O397" s="3">
        <v>0</v>
      </c>
      <c r="P397" s="3">
        <v>-4.13</v>
      </c>
      <c r="Q397" s="3">
        <f>Table1_1[[#This Row],[Sales]]/Table1_1[[#This Row],[Quantity]]</f>
        <v>654.69000000000005</v>
      </c>
    </row>
    <row r="398" spans="1:17" x14ac:dyDescent="0.3">
      <c r="A398" t="s">
        <v>411</v>
      </c>
      <c r="B398" s="2">
        <f t="shared" si="10"/>
        <v>45409</v>
      </c>
      <c r="C398" t="s">
        <v>1947</v>
      </c>
      <c r="D398" s="2">
        <v>45414</v>
      </c>
      <c r="E398" t="s">
        <v>1365</v>
      </c>
      <c r="F398" t="s">
        <v>1376</v>
      </c>
      <c r="G398" t="s">
        <v>1379</v>
      </c>
      <c r="H398" t="s">
        <v>1382</v>
      </c>
      <c r="I398" t="s">
        <v>1388</v>
      </c>
      <c r="J398" t="s">
        <v>1394</v>
      </c>
      <c r="K398" t="s">
        <v>1402</v>
      </c>
      <c r="L398" t="s">
        <v>1428</v>
      </c>
      <c r="M398" s="3">
        <v>518.51</v>
      </c>
      <c r="N398">
        <v>10</v>
      </c>
      <c r="O398" s="3">
        <v>0</v>
      </c>
      <c r="P398" s="3">
        <v>75.17</v>
      </c>
      <c r="Q398" s="3">
        <f>Table1_1[[#This Row],[Sales]]/Table1_1[[#This Row],[Quantity]]</f>
        <v>51.850999999999999</v>
      </c>
    </row>
    <row r="399" spans="1:17" x14ac:dyDescent="0.3">
      <c r="A399" t="s">
        <v>412</v>
      </c>
      <c r="B399" s="2">
        <f t="shared" si="10"/>
        <v>45359</v>
      </c>
      <c r="C399" t="s">
        <v>1948</v>
      </c>
      <c r="D399" s="2">
        <v>45369</v>
      </c>
      <c r="E399" t="s">
        <v>1365</v>
      </c>
      <c r="F399" t="s">
        <v>1374</v>
      </c>
      <c r="G399" t="s">
        <v>1704</v>
      </c>
      <c r="H399" t="s">
        <v>1385</v>
      </c>
      <c r="I399" t="s">
        <v>1388</v>
      </c>
      <c r="J399" t="s">
        <v>1393</v>
      </c>
      <c r="K399" t="s">
        <v>1396</v>
      </c>
      <c r="L399" t="s">
        <v>1537</v>
      </c>
      <c r="M399" s="3">
        <v>179.66</v>
      </c>
      <c r="N399">
        <v>7</v>
      </c>
      <c r="O399" s="3">
        <v>0.15</v>
      </c>
      <c r="P399" s="3">
        <v>4.57</v>
      </c>
      <c r="Q399" s="3">
        <f>Table1_1[[#This Row],[Sales]]/Table1_1[[#This Row],[Quantity]]</f>
        <v>25.665714285714284</v>
      </c>
    </row>
    <row r="400" spans="1:17" x14ac:dyDescent="0.3">
      <c r="A400" t="s">
        <v>413</v>
      </c>
      <c r="B400" s="2">
        <f t="shared" si="10"/>
        <v>44893</v>
      </c>
      <c r="C400" t="s">
        <v>1949</v>
      </c>
      <c r="D400" s="2">
        <v>44896</v>
      </c>
      <c r="E400" t="s">
        <v>1364</v>
      </c>
      <c r="F400" t="s">
        <v>1376</v>
      </c>
      <c r="G400" t="s">
        <v>1704</v>
      </c>
      <c r="H400" t="s">
        <v>1385</v>
      </c>
      <c r="I400" t="s">
        <v>1389</v>
      </c>
      <c r="J400" t="s">
        <v>1393</v>
      </c>
      <c r="K400" t="s">
        <v>1396</v>
      </c>
      <c r="L400" t="s">
        <v>1667</v>
      </c>
      <c r="M400" s="3">
        <v>165.78</v>
      </c>
      <c r="N400">
        <v>2</v>
      </c>
      <c r="O400" s="3">
        <v>0.2</v>
      </c>
      <c r="P400" s="3">
        <v>19.399999999999999</v>
      </c>
      <c r="Q400" s="3">
        <f>Table1_1[[#This Row],[Sales]]/Table1_1[[#This Row],[Quantity]]</f>
        <v>82.89</v>
      </c>
    </row>
    <row r="401" spans="1:17" x14ac:dyDescent="0.3">
      <c r="A401" t="s">
        <v>414</v>
      </c>
      <c r="B401" s="2">
        <f t="shared" si="10"/>
        <v>45348</v>
      </c>
      <c r="C401" t="s">
        <v>1950</v>
      </c>
      <c r="D401" s="2">
        <v>45351</v>
      </c>
      <c r="E401" t="s">
        <v>1366</v>
      </c>
      <c r="F401" t="s">
        <v>1376</v>
      </c>
      <c r="G401" t="s">
        <v>1379</v>
      </c>
      <c r="H401" t="s">
        <v>1382</v>
      </c>
      <c r="I401" t="s">
        <v>1389</v>
      </c>
      <c r="J401" t="s">
        <v>1394</v>
      </c>
      <c r="K401" t="s">
        <v>1398</v>
      </c>
      <c r="L401" t="s">
        <v>1492</v>
      </c>
      <c r="M401" s="3">
        <v>1048.1400000000001</v>
      </c>
      <c r="N401">
        <v>3</v>
      </c>
      <c r="O401" s="3">
        <v>0.1</v>
      </c>
      <c r="P401" s="3">
        <v>245.69</v>
      </c>
      <c r="Q401" s="3">
        <f>Table1_1[[#This Row],[Sales]]/Table1_1[[#This Row],[Quantity]]</f>
        <v>349.38000000000005</v>
      </c>
    </row>
    <row r="402" spans="1:17" x14ac:dyDescent="0.3">
      <c r="A402" t="s">
        <v>415</v>
      </c>
      <c r="B402" s="2">
        <f t="shared" si="10"/>
        <v>45203</v>
      </c>
      <c r="C402" t="s">
        <v>1754</v>
      </c>
      <c r="D402" s="2">
        <v>45206</v>
      </c>
      <c r="E402" t="s">
        <v>1373</v>
      </c>
      <c r="F402" t="s">
        <v>1376</v>
      </c>
      <c r="G402" t="s">
        <v>1379</v>
      </c>
      <c r="H402" t="s">
        <v>1383</v>
      </c>
      <c r="I402" t="s">
        <v>1389</v>
      </c>
      <c r="J402" t="s">
        <v>1392</v>
      </c>
      <c r="K402" t="s">
        <v>1401</v>
      </c>
      <c r="L402" t="s">
        <v>1417</v>
      </c>
      <c r="M402" s="3">
        <v>1153.31</v>
      </c>
      <c r="N402">
        <v>1</v>
      </c>
      <c r="O402" s="3">
        <v>0</v>
      </c>
      <c r="P402" s="3">
        <v>210.71</v>
      </c>
      <c r="Q402" s="3">
        <f>Table1_1[[#This Row],[Sales]]/Table1_1[[#This Row],[Quantity]]</f>
        <v>1153.31</v>
      </c>
    </row>
    <row r="403" spans="1:17" x14ac:dyDescent="0.3">
      <c r="A403" t="s">
        <v>416</v>
      </c>
      <c r="B403" s="2">
        <f t="shared" si="10"/>
        <v>44784</v>
      </c>
      <c r="C403" t="s">
        <v>1951</v>
      </c>
      <c r="D403" s="2">
        <v>44794</v>
      </c>
      <c r="E403" t="s">
        <v>1370</v>
      </c>
      <c r="F403" t="s">
        <v>1376</v>
      </c>
      <c r="G403" t="s">
        <v>1704</v>
      </c>
      <c r="H403" t="s">
        <v>1381</v>
      </c>
      <c r="I403" t="s">
        <v>1390</v>
      </c>
      <c r="J403" t="s">
        <v>1393</v>
      </c>
      <c r="K403" t="s">
        <v>1399</v>
      </c>
      <c r="L403" t="s">
        <v>1668</v>
      </c>
      <c r="M403" s="3">
        <v>555.41</v>
      </c>
      <c r="N403">
        <v>8</v>
      </c>
      <c r="O403" s="3">
        <v>0</v>
      </c>
      <c r="P403" s="3">
        <v>55.88</v>
      </c>
      <c r="Q403" s="3">
        <f>Table1_1[[#This Row],[Sales]]/Table1_1[[#This Row],[Quantity]]</f>
        <v>69.426249999999996</v>
      </c>
    </row>
    <row r="404" spans="1:17" x14ac:dyDescent="0.3">
      <c r="A404" t="s">
        <v>417</v>
      </c>
      <c r="B404" s="2">
        <f t="shared" si="10"/>
        <v>44618</v>
      </c>
      <c r="C404" t="s">
        <v>1952</v>
      </c>
      <c r="D404" s="2">
        <v>44624</v>
      </c>
      <c r="E404" t="s">
        <v>1369</v>
      </c>
      <c r="F404" t="s">
        <v>1376</v>
      </c>
      <c r="G404" t="s">
        <v>1704</v>
      </c>
      <c r="H404" t="s">
        <v>1387</v>
      </c>
      <c r="I404" t="s">
        <v>1391</v>
      </c>
      <c r="J404" t="s">
        <v>1392</v>
      </c>
      <c r="K404" t="s">
        <v>1401</v>
      </c>
      <c r="L404" t="s">
        <v>1612</v>
      </c>
      <c r="M404" s="3">
        <v>1027.52</v>
      </c>
      <c r="N404">
        <v>10</v>
      </c>
      <c r="O404" s="3">
        <v>0</v>
      </c>
      <c r="P404" s="3">
        <v>-52.18</v>
      </c>
      <c r="Q404" s="3">
        <f>Table1_1[[#This Row],[Sales]]/Table1_1[[#This Row],[Quantity]]</f>
        <v>102.752</v>
      </c>
    </row>
    <row r="405" spans="1:17" x14ac:dyDescent="0.3">
      <c r="A405" t="s">
        <v>418</v>
      </c>
      <c r="B405" s="2">
        <f t="shared" si="10"/>
        <v>45238</v>
      </c>
      <c r="C405" t="s">
        <v>1953</v>
      </c>
      <c r="D405" s="2">
        <v>45248</v>
      </c>
      <c r="E405" t="s">
        <v>1366</v>
      </c>
      <c r="F405" t="s">
        <v>1376</v>
      </c>
      <c r="G405" t="s">
        <v>1379</v>
      </c>
      <c r="H405" t="s">
        <v>1385</v>
      </c>
      <c r="I405" t="s">
        <v>1388</v>
      </c>
      <c r="J405" t="s">
        <v>1393</v>
      </c>
      <c r="K405" t="s">
        <v>1396</v>
      </c>
      <c r="L405" t="s">
        <v>1669</v>
      </c>
      <c r="M405" s="3">
        <v>229.35</v>
      </c>
      <c r="N405">
        <v>8</v>
      </c>
      <c r="O405" s="3">
        <v>0</v>
      </c>
      <c r="P405" s="3">
        <v>-4.57</v>
      </c>
      <c r="Q405" s="3">
        <f>Table1_1[[#This Row],[Sales]]/Table1_1[[#This Row],[Quantity]]</f>
        <v>28.668749999999999</v>
      </c>
    </row>
    <row r="406" spans="1:17" x14ac:dyDescent="0.3">
      <c r="A406" t="s">
        <v>419</v>
      </c>
      <c r="B406" s="2">
        <f t="shared" si="10"/>
        <v>44999</v>
      </c>
      <c r="C406" t="s">
        <v>893</v>
      </c>
      <c r="D406" s="2">
        <v>45008</v>
      </c>
      <c r="E406" t="s">
        <v>1359</v>
      </c>
      <c r="F406" t="s">
        <v>1374</v>
      </c>
      <c r="G406" t="s">
        <v>1704</v>
      </c>
      <c r="H406" t="s">
        <v>1383</v>
      </c>
      <c r="I406" t="s">
        <v>1388</v>
      </c>
      <c r="J406" t="s">
        <v>1392</v>
      </c>
      <c r="K406" t="s">
        <v>1397</v>
      </c>
      <c r="L406" t="s">
        <v>1609</v>
      </c>
      <c r="M406" s="3">
        <v>575.55999999999995</v>
      </c>
      <c r="N406">
        <v>2</v>
      </c>
      <c r="O406" s="3">
        <v>0.15</v>
      </c>
      <c r="P406" s="3">
        <v>-20.37</v>
      </c>
      <c r="Q406" s="3">
        <f>Table1_1[[#This Row],[Sales]]/Table1_1[[#This Row],[Quantity]]</f>
        <v>287.77999999999997</v>
      </c>
    </row>
    <row r="407" spans="1:17" x14ac:dyDescent="0.3">
      <c r="A407" t="s">
        <v>420</v>
      </c>
      <c r="B407" s="2">
        <f t="shared" si="10"/>
        <v>45147</v>
      </c>
      <c r="C407" t="s">
        <v>894</v>
      </c>
      <c r="D407" s="2">
        <v>45156</v>
      </c>
      <c r="E407" t="s">
        <v>1362</v>
      </c>
      <c r="F407" t="s">
        <v>1374</v>
      </c>
      <c r="G407" t="s">
        <v>1379</v>
      </c>
      <c r="H407" t="s">
        <v>1387</v>
      </c>
      <c r="I407" t="s">
        <v>1389</v>
      </c>
      <c r="J407" t="s">
        <v>1392</v>
      </c>
      <c r="K407" t="s">
        <v>1397</v>
      </c>
      <c r="L407" t="s">
        <v>1488</v>
      </c>
      <c r="M407" s="3">
        <v>874.41</v>
      </c>
      <c r="N407">
        <v>10</v>
      </c>
      <c r="O407" s="3">
        <v>0.15</v>
      </c>
      <c r="P407" s="3">
        <v>11.83</v>
      </c>
      <c r="Q407" s="3">
        <f>Table1_1[[#This Row],[Sales]]/Table1_1[[#This Row],[Quantity]]</f>
        <v>87.441000000000003</v>
      </c>
    </row>
    <row r="408" spans="1:17" x14ac:dyDescent="0.3">
      <c r="A408" t="s">
        <v>421</v>
      </c>
      <c r="B408" s="2">
        <f t="shared" si="10"/>
        <v>45308</v>
      </c>
      <c r="C408" t="s">
        <v>1707</v>
      </c>
      <c r="D408" s="2">
        <v>45316</v>
      </c>
      <c r="E408" t="s">
        <v>1369</v>
      </c>
      <c r="F408" t="s">
        <v>1376</v>
      </c>
      <c r="G408" t="s">
        <v>1379</v>
      </c>
      <c r="H408" t="s">
        <v>1382</v>
      </c>
      <c r="I408" t="s">
        <v>1390</v>
      </c>
      <c r="J408" t="s">
        <v>1394</v>
      </c>
      <c r="K408" t="s">
        <v>1402</v>
      </c>
      <c r="L408" t="s">
        <v>1432</v>
      </c>
      <c r="M408" s="3">
        <v>1062.72</v>
      </c>
      <c r="N408">
        <v>4</v>
      </c>
      <c r="O408" s="3">
        <v>0.15</v>
      </c>
      <c r="P408" s="3">
        <v>307.79000000000002</v>
      </c>
      <c r="Q408" s="3">
        <f>Table1_1[[#This Row],[Sales]]/Table1_1[[#This Row],[Quantity]]</f>
        <v>265.68</v>
      </c>
    </row>
    <row r="409" spans="1:17" x14ac:dyDescent="0.3">
      <c r="A409" t="s">
        <v>422</v>
      </c>
      <c r="B409" s="2">
        <f t="shared" si="10"/>
        <v>44929</v>
      </c>
      <c r="C409" t="s">
        <v>1954</v>
      </c>
      <c r="D409" s="2">
        <v>44993</v>
      </c>
      <c r="E409" t="s">
        <v>1372</v>
      </c>
      <c r="F409" t="s">
        <v>1375</v>
      </c>
      <c r="G409" t="s">
        <v>1379</v>
      </c>
      <c r="H409" t="s">
        <v>1384</v>
      </c>
      <c r="I409" t="s">
        <v>1391</v>
      </c>
      <c r="J409" t="s">
        <v>1392</v>
      </c>
      <c r="K409" t="s">
        <v>1397</v>
      </c>
      <c r="L409" t="s">
        <v>1504</v>
      </c>
      <c r="M409" s="3">
        <v>432.59</v>
      </c>
      <c r="N409">
        <v>4</v>
      </c>
      <c r="O409" s="3">
        <v>0</v>
      </c>
      <c r="P409" s="3">
        <v>52.04</v>
      </c>
      <c r="Q409" s="3">
        <f>Table1_1[[#This Row],[Sales]]/Table1_1[[#This Row],[Quantity]]</f>
        <v>108.14749999999999</v>
      </c>
    </row>
    <row r="410" spans="1:17" x14ac:dyDescent="0.3">
      <c r="A410" t="s">
        <v>423</v>
      </c>
      <c r="B410" s="2">
        <f t="shared" si="10"/>
        <v>44568</v>
      </c>
      <c r="C410" t="s">
        <v>1955</v>
      </c>
      <c r="D410" s="2">
        <v>44570</v>
      </c>
      <c r="E410" t="s">
        <v>1368</v>
      </c>
      <c r="F410" t="s">
        <v>1376</v>
      </c>
      <c r="G410" t="s">
        <v>1704</v>
      </c>
      <c r="H410" t="s">
        <v>1385</v>
      </c>
      <c r="I410" t="s">
        <v>1388</v>
      </c>
      <c r="J410" t="s">
        <v>1393</v>
      </c>
      <c r="K410" t="s">
        <v>1399</v>
      </c>
      <c r="L410" t="s">
        <v>1448</v>
      </c>
      <c r="M410" s="3">
        <v>422.81</v>
      </c>
      <c r="N410">
        <v>10</v>
      </c>
      <c r="O410" s="3">
        <v>0</v>
      </c>
      <c r="P410" s="3">
        <v>118.41</v>
      </c>
      <c r="Q410" s="3">
        <f>Table1_1[[#This Row],[Sales]]/Table1_1[[#This Row],[Quantity]]</f>
        <v>42.280999999999999</v>
      </c>
    </row>
    <row r="411" spans="1:17" x14ac:dyDescent="0.3">
      <c r="A411" t="s">
        <v>424</v>
      </c>
      <c r="B411" s="2">
        <f t="shared" si="10"/>
        <v>44701</v>
      </c>
      <c r="C411" t="s">
        <v>897</v>
      </c>
      <c r="D411" s="2">
        <v>44709</v>
      </c>
      <c r="E411" t="s">
        <v>1361</v>
      </c>
      <c r="F411" t="s">
        <v>1376</v>
      </c>
      <c r="G411" t="s">
        <v>1379</v>
      </c>
      <c r="H411" t="s">
        <v>1383</v>
      </c>
      <c r="I411" t="s">
        <v>1388</v>
      </c>
      <c r="J411" t="s">
        <v>1392</v>
      </c>
      <c r="K411" t="s">
        <v>1395</v>
      </c>
      <c r="L411" t="s">
        <v>1670</v>
      </c>
      <c r="M411" s="3">
        <v>563.53</v>
      </c>
      <c r="N411">
        <v>9</v>
      </c>
      <c r="O411" s="3">
        <v>0.15</v>
      </c>
      <c r="P411" s="3">
        <v>17.600000000000001</v>
      </c>
      <c r="Q411" s="3">
        <f>Table1_1[[#This Row],[Sales]]/Table1_1[[#This Row],[Quantity]]</f>
        <v>62.614444444444445</v>
      </c>
    </row>
    <row r="412" spans="1:17" x14ac:dyDescent="0.3">
      <c r="A412" t="s">
        <v>425</v>
      </c>
      <c r="B412" s="2">
        <f t="shared" si="10"/>
        <v>45153</v>
      </c>
      <c r="C412" t="s">
        <v>898</v>
      </c>
      <c r="D412" s="2">
        <v>45159</v>
      </c>
      <c r="E412" t="s">
        <v>1359</v>
      </c>
      <c r="F412" t="s">
        <v>1374</v>
      </c>
      <c r="G412" t="s">
        <v>1704</v>
      </c>
      <c r="H412" t="s">
        <v>1387</v>
      </c>
      <c r="I412" t="s">
        <v>1388</v>
      </c>
      <c r="J412" t="s">
        <v>1394</v>
      </c>
      <c r="K412" t="s">
        <v>1402</v>
      </c>
      <c r="L412" t="s">
        <v>1540</v>
      </c>
      <c r="M412" s="3">
        <v>1164.1400000000001</v>
      </c>
      <c r="N412">
        <v>5</v>
      </c>
      <c r="O412" s="3">
        <v>0</v>
      </c>
      <c r="P412" s="3">
        <v>-35.42</v>
      </c>
      <c r="Q412" s="3">
        <f>Table1_1[[#This Row],[Sales]]/Table1_1[[#This Row],[Quantity]]</f>
        <v>232.82800000000003</v>
      </c>
    </row>
    <row r="413" spans="1:17" x14ac:dyDescent="0.3">
      <c r="A413" t="s">
        <v>426</v>
      </c>
      <c r="B413" s="2">
        <f t="shared" si="10"/>
        <v>44877</v>
      </c>
      <c r="C413" t="s">
        <v>899</v>
      </c>
      <c r="D413" s="2">
        <v>44883</v>
      </c>
      <c r="E413" t="s">
        <v>1373</v>
      </c>
      <c r="F413" t="s">
        <v>1375</v>
      </c>
      <c r="G413" t="s">
        <v>1379</v>
      </c>
      <c r="H413" t="s">
        <v>1387</v>
      </c>
      <c r="I413" t="s">
        <v>1388</v>
      </c>
      <c r="J413" t="s">
        <v>1393</v>
      </c>
      <c r="K413" t="s">
        <v>1400</v>
      </c>
      <c r="L413" t="s">
        <v>1445</v>
      </c>
      <c r="M413" s="3">
        <v>340.37</v>
      </c>
      <c r="N413">
        <v>2</v>
      </c>
      <c r="O413" s="3">
        <v>0.2</v>
      </c>
      <c r="P413" s="3">
        <v>81.19</v>
      </c>
      <c r="Q413" s="3">
        <f>Table1_1[[#This Row],[Sales]]/Table1_1[[#This Row],[Quantity]]</f>
        <v>170.185</v>
      </c>
    </row>
    <row r="414" spans="1:17" x14ac:dyDescent="0.3">
      <c r="A414" t="s">
        <v>427</v>
      </c>
      <c r="B414" s="2">
        <f t="shared" si="10"/>
        <v>45365</v>
      </c>
      <c r="C414" t="s">
        <v>1956</v>
      </c>
      <c r="D414" s="2">
        <v>45366</v>
      </c>
      <c r="E414" t="s">
        <v>1368</v>
      </c>
      <c r="F414" t="s">
        <v>1376</v>
      </c>
      <c r="G414" t="s">
        <v>1379</v>
      </c>
      <c r="H414" t="s">
        <v>1386</v>
      </c>
      <c r="I414" t="s">
        <v>1391</v>
      </c>
      <c r="J414" t="s">
        <v>1392</v>
      </c>
      <c r="K414" t="s">
        <v>1401</v>
      </c>
      <c r="L414" t="s">
        <v>1671</v>
      </c>
      <c r="M414" s="3">
        <v>543.65</v>
      </c>
      <c r="N414">
        <v>1</v>
      </c>
      <c r="O414" s="3">
        <v>0.2</v>
      </c>
      <c r="P414" s="3">
        <v>137.26</v>
      </c>
      <c r="Q414" s="3">
        <f>Table1_1[[#This Row],[Sales]]/Table1_1[[#This Row],[Quantity]]</f>
        <v>543.65</v>
      </c>
    </row>
    <row r="415" spans="1:17" hidden="1" x14ac:dyDescent="0.3">
      <c r="A415" t="s">
        <v>428</v>
      </c>
      <c r="B415" s="2" t="e">
        <f t="shared" si="10"/>
        <v>#VALUE!</v>
      </c>
      <c r="C415" t="s">
        <v>1957</v>
      </c>
      <c r="D415" s="2">
        <v>45351</v>
      </c>
      <c r="E415" t="s">
        <v>1359</v>
      </c>
      <c r="F415" t="s">
        <v>1375</v>
      </c>
      <c r="G415" t="s">
        <v>1379</v>
      </c>
      <c r="H415" t="s">
        <v>1381</v>
      </c>
      <c r="I415" t="s">
        <v>1388</v>
      </c>
      <c r="J415" t="s">
        <v>1393</v>
      </c>
      <c r="K415" t="s">
        <v>1396</v>
      </c>
      <c r="L415" t="s">
        <v>1405</v>
      </c>
      <c r="M415" s="3">
        <v>1191.4100000000001</v>
      </c>
      <c r="N415">
        <v>4</v>
      </c>
      <c r="O415" s="3">
        <v>0</v>
      </c>
      <c r="P415" s="3">
        <v>35.369999999999997</v>
      </c>
      <c r="Q415" s="3">
        <f>Table1_1[[#This Row],[Sales]]/Table1_1[[#This Row],[Quantity]]</f>
        <v>297.85250000000002</v>
      </c>
    </row>
    <row r="416" spans="1:17" x14ac:dyDescent="0.3">
      <c r="A416" t="s">
        <v>429</v>
      </c>
      <c r="B416" s="2">
        <f t="shared" si="10"/>
        <v>45040</v>
      </c>
      <c r="C416" t="s">
        <v>902</v>
      </c>
      <c r="D416" s="2">
        <v>45041</v>
      </c>
      <c r="E416" t="s">
        <v>1368</v>
      </c>
      <c r="F416" t="s">
        <v>1375</v>
      </c>
      <c r="G416" t="s">
        <v>1704</v>
      </c>
      <c r="H416" t="s">
        <v>1384</v>
      </c>
      <c r="I416" t="s">
        <v>1391</v>
      </c>
      <c r="J416" t="s">
        <v>1392</v>
      </c>
      <c r="K416" t="s">
        <v>1395</v>
      </c>
      <c r="L416" t="s">
        <v>1672</v>
      </c>
      <c r="M416" s="3">
        <v>924.09</v>
      </c>
      <c r="N416">
        <v>5</v>
      </c>
      <c r="O416" s="3">
        <v>0</v>
      </c>
      <c r="P416" s="3">
        <v>82.04</v>
      </c>
      <c r="Q416" s="3">
        <f>Table1_1[[#This Row],[Sales]]/Table1_1[[#This Row],[Quantity]]</f>
        <v>184.81800000000001</v>
      </c>
    </row>
    <row r="417" spans="1:17" hidden="1" x14ac:dyDescent="0.3">
      <c r="A417" t="s">
        <v>430</v>
      </c>
      <c r="B417" s="2" t="e">
        <f t="shared" si="10"/>
        <v>#VALUE!</v>
      </c>
      <c r="C417" t="s">
        <v>1958</v>
      </c>
      <c r="D417" s="2">
        <v>44896</v>
      </c>
      <c r="E417" t="s">
        <v>1364</v>
      </c>
      <c r="F417" t="s">
        <v>1375</v>
      </c>
      <c r="G417" t="s">
        <v>1704</v>
      </c>
      <c r="H417" t="s">
        <v>1383</v>
      </c>
      <c r="I417" t="s">
        <v>1391</v>
      </c>
      <c r="J417" t="s">
        <v>1393</v>
      </c>
      <c r="K417" t="s">
        <v>1400</v>
      </c>
      <c r="L417" t="s">
        <v>1629</v>
      </c>
      <c r="M417" s="3">
        <v>341.73</v>
      </c>
      <c r="N417">
        <v>3</v>
      </c>
      <c r="O417" s="3">
        <v>0.15</v>
      </c>
      <c r="P417" s="3">
        <v>-48.79</v>
      </c>
      <c r="Q417" s="3">
        <f>Table1_1[[#This Row],[Sales]]/Table1_1[[#This Row],[Quantity]]</f>
        <v>113.91000000000001</v>
      </c>
    </row>
    <row r="418" spans="1:17" x14ac:dyDescent="0.3">
      <c r="A418" t="s">
        <v>431</v>
      </c>
      <c r="B418" s="2">
        <f t="shared" si="10"/>
        <v>44888</v>
      </c>
      <c r="C418" t="s">
        <v>904</v>
      </c>
      <c r="D418" s="2">
        <v>44893</v>
      </c>
      <c r="E418" t="s">
        <v>1360</v>
      </c>
      <c r="F418" t="s">
        <v>1374</v>
      </c>
      <c r="G418" t="s">
        <v>1704</v>
      </c>
      <c r="H418" t="s">
        <v>1381</v>
      </c>
      <c r="I418" t="s">
        <v>1390</v>
      </c>
      <c r="J418" t="s">
        <v>1392</v>
      </c>
      <c r="K418" t="s">
        <v>1395</v>
      </c>
      <c r="L418" t="s">
        <v>1640</v>
      </c>
      <c r="M418" s="3">
        <v>968.72</v>
      </c>
      <c r="N418">
        <v>10</v>
      </c>
      <c r="O418" s="3">
        <v>0.1</v>
      </c>
      <c r="P418" s="3">
        <v>-110.79</v>
      </c>
      <c r="Q418" s="3">
        <f>Table1_1[[#This Row],[Sales]]/Table1_1[[#This Row],[Quantity]]</f>
        <v>96.872</v>
      </c>
    </row>
    <row r="419" spans="1:17" hidden="1" x14ac:dyDescent="0.3">
      <c r="A419" t="s">
        <v>432</v>
      </c>
      <c r="B419" s="2" t="e">
        <f t="shared" si="10"/>
        <v>#VALUE!</v>
      </c>
      <c r="C419" t="s">
        <v>1959</v>
      </c>
      <c r="D419" s="2">
        <v>45045</v>
      </c>
      <c r="E419" t="s">
        <v>1364</v>
      </c>
      <c r="F419" t="s">
        <v>1374</v>
      </c>
      <c r="G419" t="s">
        <v>1704</v>
      </c>
      <c r="H419" t="s">
        <v>1383</v>
      </c>
      <c r="I419" t="s">
        <v>1391</v>
      </c>
      <c r="J419" t="s">
        <v>1392</v>
      </c>
      <c r="K419" t="s">
        <v>1397</v>
      </c>
      <c r="L419" t="s">
        <v>1443</v>
      </c>
      <c r="M419" s="3">
        <v>83.48</v>
      </c>
      <c r="N419">
        <v>7</v>
      </c>
      <c r="O419" s="3">
        <v>0.2</v>
      </c>
      <c r="P419" s="3">
        <v>-9.23</v>
      </c>
      <c r="Q419" s="3">
        <f>Table1_1[[#This Row],[Sales]]/Table1_1[[#This Row],[Quantity]]</f>
        <v>11.925714285714287</v>
      </c>
    </row>
    <row r="420" spans="1:17" x14ac:dyDescent="0.3">
      <c r="A420" t="s">
        <v>433</v>
      </c>
      <c r="B420" s="2">
        <f t="shared" si="10"/>
        <v>44902</v>
      </c>
      <c r="C420" t="s">
        <v>1745</v>
      </c>
      <c r="D420" s="2">
        <v>44906</v>
      </c>
      <c r="E420" t="s">
        <v>1367</v>
      </c>
      <c r="F420" t="s">
        <v>1376</v>
      </c>
      <c r="G420" t="s">
        <v>1379</v>
      </c>
      <c r="H420" t="s">
        <v>1382</v>
      </c>
      <c r="I420" t="s">
        <v>1389</v>
      </c>
      <c r="J420" t="s">
        <v>1393</v>
      </c>
      <c r="K420" t="s">
        <v>1396</v>
      </c>
      <c r="L420" t="s">
        <v>1550</v>
      </c>
      <c r="M420" s="3">
        <v>974.97</v>
      </c>
      <c r="N420">
        <v>2</v>
      </c>
      <c r="O420" s="3">
        <v>0.2</v>
      </c>
      <c r="P420" s="3">
        <v>81.790000000000006</v>
      </c>
      <c r="Q420" s="3">
        <f>Table1_1[[#This Row],[Sales]]/Table1_1[[#This Row],[Quantity]]</f>
        <v>487.48500000000001</v>
      </c>
    </row>
    <row r="421" spans="1:17" hidden="1" x14ac:dyDescent="0.3">
      <c r="A421" t="s">
        <v>434</v>
      </c>
      <c r="B421" s="2" t="e">
        <f t="shared" si="10"/>
        <v>#VALUE!</v>
      </c>
      <c r="C421" t="s">
        <v>1960</v>
      </c>
      <c r="D421" s="2">
        <v>44803</v>
      </c>
      <c r="E421" t="s">
        <v>1372</v>
      </c>
      <c r="F421" t="s">
        <v>1376</v>
      </c>
      <c r="G421" t="s">
        <v>1704</v>
      </c>
      <c r="H421" t="s">
        <v>1381</v>
      </c>
      <c r="I421" t="s">
        <v>1388</v>
      </c>
      <c r="J421" t="s">
        <v>1392</v>
      </c>
      <c r="K421" t="s">
        <v>1395</v>
      </c>
      <c r="L421" t="s">
        <v>1626</v>
      </c>
      <c r="M421" s="3">
        <v>324.5</v>
      </c>
      <c r="N421">
        <v>6</v>
      </c>
      <c r="O421" s="3">
        <v>0.2</v>
      </c>
      <c r="P421" s="3">
        <v>-35.15</v>
      </c>
      <c r="Q421" s="3">
        <f>Table1_1[[#This Row],[Sales]]/Table1_1[[#This Row],[Quantity]]</f>
        <v>54.083333333333336</v>
      </c>
    </row>
    <row r="422" spans="1:17" x14ac:dyDescent="0.3">
      <c r="A422" t="s">
        <v>435</v>
      </c>
      <c r="B422" s="2">
        <f t="shared" si="10"/>
        <v>44677</v>
      </c>
      <c r="C422" t="s">
        <v>1961</v>
      </c>
      <c r="D422" s="2">
        <v>44683</v>
      </c>
      <c r="E422" t="s">
        <v>1359</v>
      </c>
      <c r="F422" t="s">
        <v>1376</v>
      </c>
      <c r="G422" t="s">
        <v>1379</v>
      </c>
      <c r="H422" t="s">
        <v>1384</v>
      </c>
      <c r="I422" t="s">
        <v>1388</v>
      </c>
      <c r="J422" t="s">
        <v>1394</v>
      </c>
      <c r="K422" t="s">
        <v>1403</v>
      </c>
      <c r="L422" t="s">
        <v>1673</v>
      </c>
      <c r="M422" s="3">
        <v>1018</v>
      </c>
      <c r="N422">
        <v>5</v>
      </c>
      <c r="O422" s="3">
        <v>0.15</v>
      </c>
      <c r="P422" s="3">
        <v>104.06</v>
      </c>
      <c r="Q422" s="3">
        <f>Table1_1[[#This Row],[Sales]]/Table1_1[[#This Row],[Quantity]]</f>
        <v>203.6</v>
      </c>
    </row>
    <row r="423" spans="1:17" x14ac:dyDescent="0.3">
      <c r="A423" t="s">
        <v>436</v>
      </c>
      <c r="B423" s="2">
        <f t="shared" si="10"/>
        <v>45107</v>
      </c>
      <c r="C423" t="s">
        <v>908</v>
      </c>
      <c r="D423" s="2">
        <v>45115</v>
      </c>
      <c r="E423" t="s">
        <v>1367</v>
      </c>
      <c r="F423" t="s">
        <v>1376</v>
      </c>
      <c r="G423" t="s">
        <v>1704</v>
      </c>
      <c r="H423" t="s">
        <v>1386</v>
      </c>
      <c r="I423" t="s">
        <v>1389</v>
      </c>
      <c r="J423" t="s">
        <v>1394</v>
      </c>
      <c r="K423" t="s">
        <v>1398</v>
      </c>
      <c r="L423" t="s">
        <v>1674</v>
      </c>
      <c r="M423" s="3">
        <v>507.86</v>
      </c>
      <c r="N423">
        <v>10</v>
      </c>
      <c r="O423" s="3">
        <v>0.1</v>
      </c>
      <c r="P423" s="3">
        <v>37.57</v>
      </c>
      <c r="Q423" s="3">
        <f>Table1_1[[#This Row],[Sales]]/Table1_1[[#This Row],[Quantity]]</f>
        <v>50.786000000000001</v>
      </c>
    </row>
    <row r="424" spans="1:17" x14ac:dyDescent="0.3">
      <c r="A424" t="s">
        <v>437</v>
      </c>
      <c r="B424" s="2">
        <f t="shared" si="10"/>
        <v>45142</v>
      </c>
      <c r="C424" t="s">
        <v>1708</v>
      </c>
      <c r="D424" s="2">
        <v>45148</v>
      </c>
      <c r="E424" t="s">
        <v>1364</v>
      </c>
      <c r="F424" t="s">
        <v>1376</v>
      </c>
      <c r="G424" t="s">
        <v>1379</v>
      </c>
      <c r="H424" t="s">
        <v>1383</v>
      </c>
      <c r="I424" t="s">
        <v>1388</v>
      </c>
      <c r="J424" t="s">
        <v>1393</v>
      </c>
      <c r="K424" t="s">
        <v>1396</v>
      </c>
      <c r="L424" t="s">
        <v>1434</v>
      </c>
      <c r="M424" s="3">
        <v>298.66000000000003</v>
      </c>
      <c r="N424">
        <v>2</v>
      </c>
      <c r="O424" s="3">
        <v>0</v>
      </c>
      <c r="P424" s="3">
        <v>65.22</v>
      </c>
      <c r="Q424" s="3">
        <f>Table1_1[[#This Row],[Sales]]/Table1_1[[#This Row],[Quantity]]</f>
        <v>149.33000000000001</v>
      </c>
    </row>
    <row r="425" spans="1:17" hidden="1" x14ac:dyDescent="0.3">
      <c r="A425" t="s">
        <v>438</v>
      </c>
      <c r="B425" s="2" t="e">
        <f t="shared" si="10"/>
        <v>#VALUE!</v>
      </c>
      <c r="C425" t="s">
        <v>1962</v>
      </c>
      <c r="D425" s="2">
        <v>44747</v>
      </c>
      <c r="E425" t="s">
        <v>1369</v>
      </c>
      <c r="F425" t="s">
        <v>1375</v>
      </c>
      <c r="G425" t="s">
        <v>1704</v>
      </c>
      <c r="H425" t="s">
        <v>1383</v>
      </c>
      <c r="I425" t="s">
        <v>1388</v>
      </c>
      <c r="J425" t="s">
        <v>1394</v>
      </c>
      <c r="K425" t="s">
        <v>1402</v>
      </c>
      <c r="L425" t="s">
        <v>1540</v>
      </c>
      <c r="M425" s="3">
        <v>725.95</v>
      </c>
      <c r="N425">
        <v>10</v>
      </c>
      <c r="O425" s="3">
        <v>0.2</v>
      </c>
      <c r="P425" s="3">
        <v>-26.35</v>
      </c>
      <c r="Q425" s="3">
        <f>Table1_1[[#This Row],[Sales]]/Table1_1[[#This Row],[Quantity]]</f>
        <v>72.594999999999999</v>
      </c>
    </row>
    <row r="426" spans="1:17" x14ac:dyDescent="0.3">
      <c r="A426" t="s">
        <v>439</v>
      </c>
      <c r="B426" s="2">
        <f t="shared" si="10"/>
        <v>44712</v>
      </c>
      <c r="C426" t="s">
        <v>1963</v>
      </c>
      <c r="D426" s="2">
        <v>44715</v>
      </c>
      <c r="E426" t="s">
        <v>1372</v>
      </c>
      <c r="F426" t="s">
        <v>1374</v>
      </c>
      <c r="G426" t="s">
        <v>1379</v>
      </c>
      <c r="H426" t="s">
        <v>1385</v>
      </c>
      <c r="I426" t="s">
        <v>1391</v>
      </c>
      <c r="J426" t="s">
        <v>1394</v>
      </c>
      <c r="K426" t="s">
        <v>1398</v>
      </c>
      <c r="L426" t="s">
        <v>1675</v>
      </c>
      <c r="M426" s="3">
        <v>363.97</v>
      </c>
      <c r="N426">
        <v>10</v>
      </c>
      <c r="O426" s="3">
        <v>0</v>
      </c>
      <c r="P426" s="3">
        <v>8.58</v>
      </c>
      <c r="Q426" s="3">
        <f>Table1_1[[#This Row],[Sales]]/Table1_1[[#This Row],[Quantity]]</f>
        <v>36.397000000000006</v>
      </c>
    </row>
    <row r="427" spans="1:17" hidden="1" x14ac:dyDescent="0.3">
      <c r="A427" t="s">
        <v>440</v>
      </c>
      <c r="B427" s="2" t="e">
        <f t="shared" si="10"/>
        <v>#VALUE!</v>
      </c>
      <c r="C427" t="s">
        <v>1964</v>
      </c>
      <c r="D427" s="2">
        <v>45159</v>
      </c>
      <c r="E427" t="s">
        <v>1369</v>
      </c>
      <c r="F427" t="s">
        <v>1374</v>
      </c>
      <c r="G427" t="s">
        <v>1379</v>
      </c>
      <c r="H427" t="s">
        <v>1381</v>
      </c>
      <c r="I427" t="s">
        <v>1391</v>
      </c>
      <c r="J427" t="s">
        <v>1393</v>
      </c>
      <c r="K427" t="s">
        <v>1396</v>
      </c>
      <c r="L427" t="s">
        <v>1587</v>
      </c>
      <c r="M427" s="3">
        <v>496.95</v>
      </c>
      <c r="N427">
        <v>3</v>
      </c>
      <c r="O427" s="3">
        <v>0.15</v>
      </c>
      <c r="P427" s="3">
        <v>-83.88</v>
      </c>
      <c r="Q427" s="3">
        <f>Table1_1[[#This Row],[Sales]]/Table1_1[[#This Row],[Quantity]]</f>
        <v>165.65</v>
      </c>
    </row>
    <row r="428" spans="1:17" x14ac:dyDescent="0.3">
      <c r="A428" t="s">
        <v>441</v>
      </c>
      <c r="B428" s="2">
        <f t="shared" si="10"/>
        <v>44802</v>
      </c>
      <c r="C428" t="s">
        <v>912</v>
      </c>
      <c r="D428" s="2">
        <v>44809</v>
      </c>
      <c r="E428" t="s">
        <v>1359</v>
      </c>
      <c r="F428" t="s">
        <v>1374</v>
      </c>
      <c r="G428" t="s">
        <v>1704</v>
      </c>
      <c r="H428" t="s">
        <v>1385</v>
      </c>
      <c r="I428" t="s">
        <v>1390</v>
      </c>
      <c r="J428" t="s">
        <v>1393</v>
      </c>
      <c r="K428" t="s">
        <v>1396</v>
      </c>
      <c r="L428" t="s">
        <v>1676</v>
      </c>
      <c r="M428" s="3">
        <v>485.24</v>
      </c>
      <c r="N428">
        <v>6</v>
      </c>
      <c r="O428" s="3">
        <v>0.2</v>
      </c>
      <c r="P428" s="3">
        <v>1.46</v>
      </c>
      <c r="Q428" s="3">
        <f>Table1_1[[#This Row],[Sales]]/Table1_1[[#This Row],[Quantity]]</f>
        <v>80.873333333333335</v>
      </c>
    </row>
    <row r="429" spans="1:17" hidden="1" x14ac:dyDescent="0.3">
      <c r="A429" t="s">
        <v>442</v>
      </c>
      <c r="B429" s="2" t="e">
        <f t="shared" si="10"/>
        <v>#VALUE!</v>
      </c>
      <c r="C429" t="s">
        <v>1965</v>
      </c>
      <c r="D429" s="2">
        <v>45137</v>
      </c>
      <c r="E429" t="s">
        <v>1369</v>
      </c>
      <c r="F429" t="s">
        <v>1374</v>
      </c>
      <c r="G429" t="s">
        <v>1704</v>
      </c>
      <c r="H429" t="s">
        <v>1382</v>
      </c>
      <c r="I429" t="s">
        <v>1389</v>
      </c>
      <c r="J429" t="s">
        <v>1394</v>
      </c>
      <c r="K429" t="s">
        <v>1403</v>
      </c>
      <c r="L429" t="s">
        <v>1677</v>
      </c>
      <c r="M429" s="3">
        <v>202.04</v>
      </c>
      <c r="N429">
        <v>3</v>
      </c>
      <c r="O429" s="3">
        <v>0.1</v>
      </c>
      <c r="P429" s="3">
        <v>-39.24</v>
      </c>
      <c r="Q429" s="3">
        <f>Table1_1[[#This Row],[Sales]]/Table1_1[[#This Row],[Quantity]]</f>
        <v>67.346666666666664</v>
      </c>
    </row>
    <row r="430" spans="1:17" x14ac:dyDescent="0.3">
      <c r="A430" t="s">
        <v>443</v>
      </c>
      <c r="B430" s="2">
        <f t="shared" si="10"/>
        <v>44648</v>
      </c>
      <c r="C430" t="s">
        <v>914</v>
      </c>
      <c r="D430" s="2">
        <v>44651</v>
      </c>
      <c r="E430" t="s">
        <v>1360</v>
      </c>
      <c r="F430" t="s">
        <v>1374</v>
      </c>
      <c r="G430" t="s">
        <v>1704</v>
      </c>
      <c r="H430" t="s">
        <v>1385</v>
      </c>
      <c r="I430" t="s">
        <v>1391</v>
      </c>
      <c r="J430" t="s">
        <v>1393</v>
      </c>
      <c r="K430" t="s">
        <v>1399</v>
      </c>
      <c r="L430" t="s">
        <v>1435</v>
      </c>
      <c r="M430" s="3">
        <v>1034.98</v>
      </c>
      <c r="N430">
        <v>10</v>
      </c>
      <c r="O430" s="3">
        <v>0.2</v>
      </c>
      <c r="P430" s="3">
        <v>115.53</v>
      </c>
      <c r="Q430" s="3">
        <f>Table1_1[[#This Row],[Sales]]/Table1_1[[#This Row],[Quantity]]</f>
        <v>103.498</v>
      </c>
    </row>
    <row r="431" spans="1:17" x14ac:dyDescent="0.3">
      <c r="A431" t="s">
        <v>444</v>
      </c>
      <c r="B431" s="2">
        <f t="shared" si="10"/>
        <v>44841</v>
      </c>
      <c r="C431" t="s">
        <v>1781</v>
      </c>
      <c r="D431" s="2">
        <v>44759</v>
      </c>
      <c r="E431" t="s">
        <v>1360</v>
      </c>
      <c r="F431" t="s">
        <v>1375</v>
      </c>
      <c r="G431" t="s">
        <v>1379</v>
      </c>
      <c r="H431" t="s">
        <v>1383</v>
      </c>
      <c r="I431" t="s">
        <v>1389</v>
      </c>
      <c r="J431" t="s">
        <v>1393</v>
      </c>
      <c r="K431" t="s">
        <v>1400</v>
      </c>
      <c r="L431" t="s">
        <v>1678</v>
      </c>
      <c r="M431" s="3">
        <v>701.97</v>
      </c>
      <c r="N431">
        <v>4</v>
      </c>
      <c r="O431" s="3">
        <v>0</v>
      </c>
      <c r="P431" s="3">
        <v>-45.89</v>
      </c>
      <c r="Q431" s="3">
        <f>Table1_1[[#This Row],[Sales]]/Table1_1[[#This Row],[Quantity]]</f>
        <v>175.49250000000001</v>
      </c>
    </row>
    <row r="432" spans="1:17" hidden="1" x14ac:dyDescent="0.3">
      <c r="A432" t="s">
        <v>445</v>
      </c>
      <c r="B432" s="2" t="e">
        <f t="shared" si="10"/>
        <v>#VALUE!</v>
      </c>
      <c r="C432" t="s">
        <v>1966</v>
      </c>
      <c r="D432" s="2">
        <v>44941</v>
      </c>
      <c r="E432" t="s">
        <v>1372</v>
      </c>
      <c r="F432" t="s">
        <v>1374</v>
      </c>
      <c r="G432" t="s">
        <v>1379</v>
      </c>
      <c r="H432" t="s">
        <v>1383</v>
      </c>
      <c r="I432" t="s">
        <v>1388</v>
      </c>
      <c r="J432" t="s">
        <v>1393</v>
      </c>
      <c r="K432" t="s">
        <v>1399</v>
      </c>
      <c r="L432" t="s">
        <v>1679</v>
      </c>
      <c r="M432" s="3">
        <v>1154.8499999999999</v>
      </c>
      <c r="N432">
        <v>2</v>
      </c>
      <c r="O432" s="3">
        <v>0.1</v>
      </c>
      <c r="P432" s="3">
        <v>190.66</v>
      </c>
      <c r="Q432" s="3">
        <f>Table1_1[[#This Row],[Sales]]/Table1_1[[#This Row],[Quantity]]</f>
        <v>577.42499999999995</v>
      </c>
    </row>
    <row r="433" spans="1:17" x14ac:dyDescent="0.3">
      <c r="A433" t="s">
        <v>446</v>
      </c>
      <c r="B433" s="2">
        <f t="shared" si="10"/>
        <v>45045</v>
      </c>
      <c r="C433" t="s">
        <v>916</v>
      </c>
      <c r="D433" s="2">
        <v>45047</v>
      </c>
      <c r="E433" t="s">
        <v>1359</v>
      </c>
      <c r="F433" t="s">
        <v>1376</v>
      </c>
      <c r="G433" t="s">
        <v>1704</v>
      </c>
      <c r="H433" t="s">
        <v>1383</v>
      </c>
      <c r="I433" t="s">
        <v>1389</v>
      </c>
      <c r="J433" t="s">
        <v>1393</v>
      </c>
      <c r="K433" t="s">
        <v>1396</v>
      </c>
      <c r="L433" t="s">
        <v>1596</v>
      </c>
      <c r="M433" s="3">
        <v>656.25</v>
      </c>
      <c r="N433">
        <v>10</v>
      </c>
      <c r="O433" s="3">
        <v>0.15</v>
      </c>
      <c r="P433" s="3">
        <v>69.900000000000006</v>
      </c>
      <c r="Q433" s="3">
        <f>Table1_1[[#This Row],[Sales]]/Table1_1[[#This Row],[Quantity]]</f>
        <v>65.625</v>
      </c>
    </row>
    <row r="434" spans="1:17" hidden="1" x14ac:dyDescent="0.3">
      <c r="A434" t="s">
        <v>447</v>
      </c>
      <c r="B434" s="2" t="e">
        <f t="shared" si="10"/>
        <v>#VALUE!</v>
      </c>
      <c r="C434" t="s">
        <v>1894</v>
      </c>
      <c r="D434" s="2">
        <v>45319</v>
      </c>
      <c r="E434" t="s">
        <v>1364</v>
      </c>
      <c r="F434" t="s">
        <v>1376</v>
      </c>
      <c r="G434" t="s">
        <v>1379</v>
      </c>
      <c r="H434" t="s">
        <v>1381</v>
      </c>
      <c r="I434" t="s">
        <v>1389</v>
      </c>
      <c r="J434" t="s">
        <v>1394</v>
      </c>
      <c r="K434" t="s">
        <v>1403</v>
      </c>
      <c r="L434" t="s">
        <v>1603</v>
      </c>
      <c r="M434" s="3">
        <v>1153.49</v>
      </c>
      <c r="N434">
        <v>5</v>
      </c>
      <c r="O434" s="3">
        <v>0.15</v>
      </c>
      <c r="P434" s="3">
        <v>-134.09</v>
      </c>
      <c r="Q434" s="3">
        <f>Table1_1[[#This Row],[Sales]]/Table1_1[[#This Row],[Quantity]]</f>
        <v>230.69800000000001</v>
      </c>
    </row>
    <row r="435" spans="1:17" x14ac:dyDescent="0.3">
      <c r="A435" t="s">
        <v>448</v>
      </c>
      <c r="B435" s="2">
        <f t="shared" si="10"/>
        <v>44735</v>
      </c>
      <c r="C435" t="s">
        <v>1967</v>
      </c>
      <c r="D435" s="2">
        <v>44745</v>
      </c>
      <c r="E435" t="s">
        <v>1370</v>
      </c>
      <c r="F435" t="s">
        <v>1375</v>
      </c>
      <c r="G435" t="s">
        <v>1379</v>
      </c>
      <c r="H435" t="s">
        <v>1384</v>
      </c>
      <c r="I435" t="s">
        <v>1390</v>
      </c>
      <c r="J435" t="s">
        <v>1392</v>
      </c>
      <c r="K435" t="s">
        <v>1395</v>
      </c>
      <c r="L435" t="s">
        <v>1520</v>
      </c>
      <c r="M435" s="3">
        <v>1188.6300000000001</v>
      </c>
      <c r="N435">
        <v>10</v>
      </c>
      <c r="O435" s="3">
        <v>0</v>
      </c>
      <c r="P435" s="3">
        <v>-67.27</v>
      </c>
      <c r="Q435" s="3">
        <f>Table1_1[[#This Row],[Sales]]/Table1_1[[#This Row],[Quantity]]</f>
        <v>118.86300000000001</v>
      </c>
    </row>
    <row r="436" spans="1:17" hidden="1" x14ac:dyDescent="0.3">
      <c r="A436" t="s">
        <v>449</v>
      </c>
      <c r="B436" s="2" t="e">
        <f t="shared" si="10"/>
        <v>#VALUE!</v>
      </c>
      <c r="C436" t="s">
        <v>1968</v>
      </c>
      <c r="D436" s="2">
        <v>44854</v>
      </c>
      <c r="E436" t="s">
        <v>1370</v>
      </c>
      <c r="F436" t="s">
        <v>1376</v>
      </c>
      <c r="G436" t="s">
        <v>1379</v>
      </c>
      <c r="H436" t="s">
        <v>1386</v>
      </c>
      <c r="I436" t="s">
        <v>1390</v>
      </c>
      <c r="J436" t="s">
        <v>1394</v>
      </c>
      <c r="K436" t="s">
        <v>1402</v>
      </c>
      <c r="L436" t="s">
        <v>1680</v>
      </c>
      <c r="M436" s="3">
        <v>894.89</v>
      </c>
      <c r="N436">
        <v>10</v>
      </c>
      <c r="O436" s="3">
        <v>0.1</v>
      </c>
      <c r="P436" s="3">
        <v>228.26</v>
      </c>
      <c r="Q436" s="3">
        <f>Table1_1[[#This Row],[Sales]]/Table1_1[[#This Row],[Quantity]]</f>
        <v>89.489000000000004</v>
      </c>
    </row>
    <row r="437" spans="1:17" x14ac:dyDescent="0.3">
      <c r="A437" t="s">
        <v>450</v>
      </c>
      <c r="B437" s="2">
        <f t="shared" si="10"/>
        <v>45363</v>
      </c>
      <c r="C437" t="s">
        <v>1969</v>
      </c>
      <c r="D437" s="2">
        <v>45367</v>
      </c>
      <c r="E437" t="s">
        <v>1359</v>
      </c>
      <c r="F437" t="s">
        <v>1376</v>
      </c>
      <c r="G437" t="s">
        <v>1704</v>
      </c>
      <c r="H437" t="s">
        <v>1386</v>
      </c>
      <c r="I437" t="s">
        <v>1389</v>
      </c>
      <c r="J437" t="s">
        <v>1394</v>
      </c>
      <c r="K437" t="s">
        <v>1402</v>
      </c>
      <c r="L437" t="s">
        <v>1681</v>
      </c>
      <c r="M437" s="3">
        <v>963.26</v>
      </c>
      <c r="N437">
        <v>1</v>
      </c>
      <c r="O437" s="3">
        <v>0.15</v>
      </c>
      <c r="P437" s="3">
        <v>281.31</v>
      </c>
      <c r="Q437" s="3">
        <f>Table1_1[[#This Row],[Sales]]/Table1_1[[#This Row],[Quantity]]</f>
        <v>963.26</v>
      </c>
    </row>
    <row r="438" spans="1:17" x14ac:dyDescent="0.3">
      <c r="A438" t="s">
        <v>451</v>
      </c>
      <c r="B438" s="2">
        <f t="shared" si="10"/>
        <v>45238</v>
      </c>
      <c r="C438" t="s">
        <v>920</v>
      </c>
      <c r="D438" s="2">
        <v>45246</v>
      </c>
      <c r="E438" t="s">
        <v>1369</v>
      </c>
      <c r="F438" t="s">
        <v>1375</v>
      </c>
      <c r="G438" t="s">
        <v>1704</v>
      </c>
      <c r="H438" t="s">
        <v>1385</v>
      </c>
      <c r="I438" t="s">
        <v>1389</v>
      </c>
      <c r="J438" t="s">
        <v>1393</v>
      </c>
      <c r="K438" t="s">
        <v>1396</v>
      </c>
      <c r="L438" t="s">
        <v>1533</v>
      </c>
      <c r="M438" s="3">
        <v>217.39</v>
      </c>
      <c r="N438">
        <v>10</v>
      </c>
      <c r="O438" s="3">
        <v>0.15</v>
      </c>
      <c r="P438" s="3">
        <v>-37.57</v>
      </c>
      <c r="Q438" s="3">
        <f>Table1_1[[#This Row],[Sales]]/Table1_1[[#This Row],[Quantity]]</f>
        <v>21.738999999999997</v>
      </c>
    </row>
    <row r="439" spans="1:17" x14ac:dyDescent="0.3">
      <c r="A439" t="s">
        <v>452</v>
      </c>
      <c r="B439" s="2">
        <f t="shared" si="10"/>
        <v>44990</v>
      </c>
      <c r="C439" t="s">
        <v>1970</v>
      </c>
      <c r="D439" s="2">
        <v>45058</v>
      </c>
      <c r="E439" t="s">
        <v>1367</v>
      </c>
      <c r="F439" t="s">
        <v>1376</v>
      </c>
      <c r="G439" t="s">
        <v>1704</v>
      </c>
      <c r="H439" t="s">
        <v>1385</v>
      </c>
      <c r="I439" t="s">
        <v>1391</v>
      </c>
      <c r="J439" t="s">
        <v>1392</v>
      </c>
      <c r="K439" t="s">
        <v>1397</v>
      </c>
      <c r="L439" t="s">
        <v>1488</v>
      </c>
      <c r="M439" s="3">
        <v>826.54</v>
      </c>
      <c r="N439">
        <v>7</v>
      </c>
      <c r="O439" s="3">
        <v>0.2</v>
      </c>
      <c r="P439" s="3">
        <v>-56.77</v>
      </c>
      <c r="Q439" s="3">
        <f>Table1_1[[#This Row],[Sales]]/Table1_1[[#This Row],[Quantity]]</f>
        <v>118.07714285714285</v>
      </c>
    </row>
    <row r="440" spans="1:17" x14ac:dyDescent="0.3">
      <c r="A440" t="s">
        <v>453</v>
      </c>
      <c r="B440" s="2">
        <f t="shared" si="10"/>
        <v>45261</v>
      </c>
      <c r="C440" t="s">
        <v>922</v>
      </c>
      <c r="D440" s="2">
        <v>45262</v>
      </c>
      <c r="E440" t="s">
        <v>1372</v>
      </c>
      <c r="F440" t="s">
        <v>1376</v>
      </c>
      <c r="G440" t="s">
        <v>1379</v>
      </c>
      <c r="H440" t="s">
        <v>1384</v>
      </c>
      <c r="I440" t="s">
        <v>1389</v>
      </c>
      <c r="J440" t="s">
        <v>1392</v>
      </c>
      <c r="K440" t="s">
        <v>1395</v>
      </c>
      <c r="L440" t="s">
        <v>1429</v>
      </c>
      <c r="M440" s="3">
        <v>772.16</v>
      </c>
      <c r="N440">
        <v>7</v>
      </c>
      <c r="O440" s="3">
        <v>0</v>
      </c>
      <c r="P440" s="3">
        <v>200.01</v>
      </c>
      <c r="Q440" s="3">
        <f>Table1_1[[#This Row],[Sales]]/Table1_1[[#This Row],[Quantity]]</f>
        <v>110.30857142857143</v>
      </c>
    </row>
    <row r="441" spans="1:17" x14ac:dyDescent="0.3">
      <c r="A441" t="s">
        <v>454</v>
      </c>
      <c r="B441" s="2">
        <f t="shared" si="10"/>
        <v>45325</v>
      </c>
      <c r="C441" t="s">
        <v>1744</v>
      </c>
      <c r="D441" s="2">
        <v>45357</v>
      </c>
      <c r="E441" t="s">
        <v>1368</v>
      </c>
      <c r="F441" t="s">
        <v>1374</v>
      </c>
      <c r="G441" t="s">
        <v>1379</v>
      </c>
      <c r="H441" t="s">
        <v>1382</v>
      </c>
      <c r="I441" t="s">
        <v>1388</v>
      </c>
      <c r="J441" t="s">
        <v>1393</v>
      </c>
      <c r="K441" t="s">
        <v>1396</v>
      </c>
      <c r="L441" t="s">
        <v>1682</v>
      </c>
      <c r="M441" s="3">
        <v>714.69</v>
      </c>
      <c r="N441">
        <v>4</v>
      </c>
      <c r="O441" s="3">
        <v>0</v>
      </c>
      <c r="P441" s="3">
        <v>-22.37</v>
      </c>
      <c r="Q441" s="3">
        <f>Table1_1[[#This Row],[Sales]]/Table1_1[[#This Row],[Quantity]]</f>
        <v>178.67250000000001</v>
      </c>
    </row>
    <row r="442" spans="1:17" x14ac:dyDescent="0.3">
      <c r="A442" t="s">
        <v>455</v>
      </c>
      <c r="B442" s="2">
        <f t="shared" si="10"/>
        <v>44574</v>
      </c>
      <c r="C442" t="s">
        <v>923</v>
      </c>
      <c r="D442" s="2">
        <v>44581</v>
      </c>
      <c r="E442" t="s">
        <v>1371</v>
      </c>
      <c r="F442" t="s">
        <v>1375</v>
      </c>
      <c r="G442" t="s">
        <v>1379</v>
      </c>
      <c r="H442" t="s">
        <v>1383</v>
      </c>
      <c r="I442" t="s">
        <v>1388</v>
      </c>
      <c r="J442" t="s">
        <v>1392</v>
      </c>
      <c r="K442" t="s">
        <v>1395</v>
      </c>
      <c r="L442" t="s">
        <v>1566</v>
      </c>
      <c r="M442" s="3">
        <v>142.61000000000001</v>
      </c>
      <c r="N442">
        <v>8</v>
      </c>
      <c r="O442" s="3">
        <v>0.15</v>
      </c>
      <c r="P442" s="3">
        <v>-12.88</v>
      </c>
      <c r="Q442" s="3">
        <f>Table1_1[[#This Row],[Sales]]/Table1_1[[#This Row],[Quantity]]</f>
        <v>17.826250000000002</v>
      </c>
    </row>
    <row r="443" spans="1:17" x14ac:dyDescent="0.3">
      <c r="A443" t="s">
        <v>456</v>
      </c>
      <c r="B443" s="2">
        <f t="shared" si="10"/>
        <v>45170</v>
      </c>
      <c r="C443" t="s">
        <v>1819</v>
      </c>
      <c r="D443" s="2">
        <v>45174</v>
      </c>
      <c r="E443" t="s">
        <v>1365</v>
      </c>
      <c r="F443" t="s">
        <v>1374</v>
      </c>
      <c r="G443" t="s">
        <v>1704</v>
      </c>
      <c r="H443" t="s">
        <v>1381</v>
      </c>
      <c r="I443" t="s">
        <v>1390</v>
      </c>
      <c r="J443" t="s">
        <v>1393</v>
      </c>
      <c r="K443" t="s">
        <v>1396</v>
      </c>
      <c r="L443" t="s">
        <v>1537</v>
      </c>
      <c r="M443" s="3">
        <v>163.71</v>
      </c>
      <c r="N443">
        <v>2</v>
      </c>
      <c r="O443" s="3">
        <v>0</v>
      </c>
      <c r="P443" s="3">
        <v>37.36</v>
      </c>
      <c r="Q443" s="3">
        <f>Table1_1[[#This Row],[Sales]]/Table1_1[[#This Row],[Quantity]]</f>
        <v>81.855000000000004</v>
      </c>
    </row>
    <row r="444" spans="1:17" hidden="1" x14ac:dyDescent="0.3">
      <c r="A444" t="s">
        <v>457</v>
      </c>
      <c r="B444" s="2" t="e">
        <f t="shared" si="10"/>
        <v>#VALUE!</v>
      </c>
      <c r="C444" t="s">
        <v>1878</v>
      </c>
      <c r="D444" s="2">
        <v>44871</v>
      </c>
      <c r="E444" t="s">
        <v>1372</v>
      </c>
      <c r="F444" t="s">
        <v>1375</v>
      </c>
      <c r="G444" t="s">
        <v>1379</v>
      </c>
      <c r="H444" t="s">
        <v>1384</v>
      </c>
      <c r="I444" t="s">
        <v>1388</v>
      </c>
      <c r="J444" t="s">
        <v>1393</v>
      </c>
      <c r="K444" t="s">
        <v>1400</v>
      </c>
      <c r="L444" t="s">
        <v>1647</v>
      </c>
      <c r="M444" s="3">
        <v>773.76</v>
      </c>
      <c r="N444">
        <v>5</v>
      </c>
      <c r="O444" s="3">
        <v>0.2</v>
      </c>
      <c r="P444" s="3">
        <v>113.05</v>
      </c>
      <c r="Q444" s="3">
        <f>Table1_1[[#This Row],[Sales]]/Table1_1[[#This Row],[Quantity]]</f>
        <v>154.75200000000001</v>
      </c>
    </row>
    <row r="445" spans="1:17" x14ac:dyDescent="0.3">
      <c r="A445" t="s">
        <v>458</v>
      </c>
      <c r="B445" s="2">
        <f t="shared" si="10"/>
        <v>44959</v>
      </c>
      <c r="C445" t="s">
        <v>924</v>
      </c>
      <c r="D445" s="2">
        <v>44965</v>
      </c>
      <c r="E445" t="s">
        <v>1370</v>
      </c>
      <c r="F445" t="s">
        <v>1376</v>
      </c>
      <c r="G445" t="s">
        <v>1704</v>
      </c>
      <c r="H445" t="s">
        <v>1382</v>
      </c>
      <c r="I445" t="s">
        <v>1389</v>
      </c>
      <c r="J445" t="s">
        <v>1392</v>
      </c>
      <c r="K445" t="s">
        <v>1397</v>
      </c>
      <c r="L445" t="s">
        <v>1609</v>
      </c>
      <c r="M445" s="3">
        <v>1147.6099999999999</v>
      </c>
      <c r="N445">
        <v>5</v>
      </c>
      <c r="O445" s="3">
        <v>0.1</v>
      </c>
      <c r="P445" s="3">
        <v>23.28</v>
      </c>
      <c r="Q445" s="3">
        <f>Table1_1[[#This Row],[Sales]]/Table1_1[[#This Row],[Quantity]]</f>
        <v>229.52199999999999</v>
      </c>
    </row>
    <row r="446" spans="1:17" x14ac:dyDescent="0.3">
      <c r="A446" t="s">
        <v>459</v>
      </c>
      <c r="B446" s="2">
        <f t="shared" si="10"/>
        <v>44709</v>
      </c>
      <c r="C446" t="s">
        <v>1971</v>
      </c>
      <c r="D446" s="2">
        <v>44718</v>
      </c>
      <c r="E446" t="s">
        <v>1369</v>
      </c>
      <c r="F446" t="s">
        <v>1375</v>
      </c>
      <c r="G446" t="s">
        <v>1379</v>
      </c>
      <c r="H446" t="s">
        <v>1386</v>
      </c>
      <c r="I446" t="s">
        <v>1389</v>
      </c>
      <c r="J446" t="s">
        <v>1394</v>
      </c>
      <c r="K446" t="s">
        <v>1402</v>
      </c>
      <c r="L446" t="s">
        <v>1683</v>
      </c>
      <c r="M446" s="3">
        <v>744.48</v>
      </c>
      <c r="N446">
        <v>2</v>
      </c>
      <c r="O446" s="3">
        <v>0.2</v>
      </c>
      <c r="P446" s="3">
        <v>117.4</v>
      </c>
      <c r="Q446" s="3">
        <f>Table1_1[[#This Row],[Sales]]/Table1_1[[#This Row],[Quantity]]</f>
        <v>372.24</v>
      </c>
    </row>
    <row r="447" spans="1:17" hidden="1" x14ac:dyDescent="0.3">
      <c r="A447" t="s">
        <v>460</v>
      </c>
      <c r="B447" s="2" t="e">
        <f t="shared" si="10"/>
        <v>#VALUE!</v>
      </c>
      <c r="C447" t="s">
        <v>1767</v>
      </c>
      <c r="D447" s="2">
        <v>45074</v>
      </c>
      <c r="E447" t="s">
        <v>1372</v>
      </c>
      <c r="F447" t="s">
        <v>1374</v>
      </c>
      <c r="G447" t="s">
        <v>1379</v>
      </c>
      <c r="H447" t="s">
        <v>1383</v>
      </c>
      <c r="I447" t="s">
        <v>1389</v>
      </c>
      <c r="J447" t="s">
        <v>1393</v>
      </c>
      <c r="K447" t="s">
        <v>1396</v>
      </c>
      <c r="L447" t="s">
        <v>1550</v>
      </c>
      <c r="M447" s="3">
        <v>21.02</v>
      </c>
      <c r="N447">
        <v>1</v>
      </c>
      <c r="O447" s="3">
        <v>0.2</v>
      </c>
      <c r="P447" s="3">
        <v>-1.4</v>
      </c>
      <c r="Q447" s="3">
        <f>Table1_1[[#This Row],[Sales]]/Table1_1[[#This Row],[Quantity]]</f>
        <v>21.02</v>
      </c>
    </row>
    <row r="448" spans="1:17" x14ac:dyDescent="0.3">
      <c r="A448" t="s">
        <v>461</v>
      </c>
      <c r="B448" s="2">
        <f t="shared" si="10"/>
        <v>45008</v>
      </c>
      <c r="C448" t="s">
        <v>926</v>
      </c>
      <c r="D448" s="2">
        <v>45015</v>
      </c>
      <c r="E448" t="s">
        <v>1361</v>
      </c>
      <c r="F448" t="s">
        <v>1374</v>
      </c>
      <c r="G448" t="s">
        <v>1379</v>
      </c>
      <c r="H448" t="s">
        <v>1384</v>
      </c>
      <c r="I448" t="s">
        <v>1391</v>
      </c>
      <c r="J448" t="s">
        <v>1393</v>
      </c>
      <c r="K448" t="s">
        <v>1400</v>
      </c>
      <c r="L448" t="s">
        <v>1479</v>
      </c>
      <c r="M448" s="3">
        <v>657.35</v>
      </c>
      <c r="N448">
        <v>1</v>
      </c>
      <c r="O448" s="3">
        <v>0.2</v>
      </c>
      <c r="P448" s="3">
        <v>182.14</v>
      </c>
      <c r="Q448" s="3">
        <f>Table1_1[[#This Row],[Sales]]/Table1_1[[#This Row],[Quantity]]</f>
        <v>657.35</v>
      </c>
    </row>
    <row r="449" spans="1:17" x14ac:dyDescent="0.3">
      <c r="A449" t="s">
        <v>462</v>
      </c>
      <c r="B449" s="2">
        <f t="shared" si="10"/>
        <v>44618</v>
      </c>
      <c r="C449" t="s">
        <v>927</v>
      </c>
      <c r="D449" s="2">
        <v>44620</v>
      </c>
      <c r="E449" t="s">
        <v>1363</v>
      </c>
      <c r="F449" t="s">
        <v>1374</v>
      </c>
      <c r="G449" t="s">
        <v>1379</v>
      </c>
      <c r="H449" t="s">
        <v>1385</v>
      </c>
      <c r="I449" t="s">
        <v>1390</v>
      </c>
      <c r="J449" t="s">
        <v>1394</v>
      </c>
      <c r="K449" t="s">
        <v>1398</v>
      </c>
      <c r="L449" t="s">
        <v>1651</v>
      </c>
      <c r="M449" s="3">
        <v>1026.94</v>
      </c>
      <c r="N449">
        <v>6</v>
      </c>
      <c r="O449" s="3">
        <v>0</v>
      </c>
      <c r="P449" s="3">
        <v>226.53</v>
      </c>
      <c r="Q449" s="3">
        <f>Table1_1[[#This Row],[Sales]]/Table1_1[[#This Row],[Quantity]]</f>
        <v>171.15666666666667</v>
      </c>
    </row>
    <row r="450" spans="1:17" x14ac:dyDescent="0.3">
      <c r="A450" t="s">
        <v>463</v>
      </c>
      <c r="B450" s="2">
        <f t="shared" ref="B450:B453" si="11">DATEVALUE(C450)</f>
        <v>45274</v>
      </c>
      <c r="C450" t="s">
        <v>928</v>
      </c>
      <c r="D450" s="2">
        <v>45281</v>
      </c>
      <c r="E450" t="s">
        <v>1363</v>
      </c>
      <c r="F450" t="s">
        <v>1375</v>
      </c>
      <c r="G450" t="s">
        <v>1704</v>
      </c>
      <c r="H450" t="s">
        <v>1381</v>
      </c>
      <c r="I450" t="s">
        <v>1390</v>
      </c>
      <c r="J450" t="s">
        <v>1392</v>
      </c>
      <c r="K450" t="s">
        <v>1395</v>
      </c>
      <c r="L450" t="s">
        <v>1615</v>
      </c>
      <c r="M450" s="3">
        <v>832.83</v>
      </c>
      <c r="N450">
        <v>8</v>
      </c>
      <c r="O450" s="3">
        <v>0</v>
      </c>
      <c r="P450" s="3">
        <v>202.05</v>
      </c>
      <c r="Q450" s="3">
        <f>Table1_1[[#This Row],[Sales]]/Table1_1[[#This Row],[Quantity]]</f>
        <v>104.10375000000001</v>
      </c>
    </row>
    <row r="451" spans="1:17" x14ac:dyDescent="0.3">
      <c r="A451" t="s">
        <v>464</v>
      </c>
      <c r="B451" s="2">
        <f t="shared" si="11"/>
        <v>44960</v>
      </c>
      <c r="C451" t="s">
        <v>1760</v>
      </c>
      <c r="D451" s="2">
        <v>44962</v>
      </c>
      <c r="E451" t="s">
        <v>1366</v>
      </c>
      <c r="F451" t="s">
        <v>1375</v>
      </c>
      <c r="G451" t="s">
        <v>1379</v>
      </c>
      <c r="H451" t="s">
        <v>1386</v>
      </c>
      <c r="I451" t="s">
        <v>1388</v>
      </c>
      <c r="J451" t="s">
        <v>1393</v>
      </c>
      <c r="K451" t="s">
        <v>1396</v>
      </c>
      <c r="L451" t="s">
        <v>1607</v>
      </c>
      <c r="M451" s="3">
        <v>383.12</v>
      </c>
      <c r="N451">
        <v>9</v>
      </c>
      <c r="O451" s="3">
        <v>0.2</v>
      </c>
      <c r="P451" s="3">
        <v>108.53</v>
      </c>
      <c r="Q451" s="3">
        <f>Table1_1[[#This Row],[Sales]]/Table1_1[[#This Row],[Quantity]]</f>
        <v>42.568888888888893</v>
      </c>
    </row>
    <row r="452" spans="1:17" x14ac:dyDescent="0.3">
      <c r="A452" t="s">
        <v>465</v>
      </c>
      <c r="B452" s="2">
        <f t="shared" si="11"/>
        <v>44683</v>
      </c>
      <c r="C452" t="s">
        <v>1972</v>
      </c>
      <c r="D452" s="2">
        <v>44687</v>
      </c>
      <c r="E452" t="s">
        <v>1369</v>
      </c>
      <c r="F452" t="s">
        <v>1374</v>
      </c>
      <c r="G452" t="s">
        <v>1704</v>
      </c>
      <c r="H452" t="s">
        <v>1385</v>
      </c>
      <c r="I452" t="s">
        <v>1388</v>
      </c>
      <c r="J452" t="s">
        <v>1393</v>
      </c>
      <c r="K452" t="s">
        <v>1396</v>
      </c>
      <c r="L452" t="s">
        <v>1550</v>
      </c>
      <c r="M452" s="3">
        <v>637.28</v>
      </c>
      <c r="N452">
        <v>9</v>
      </c>
      <c r="O452" s="3">
        <v>0.1</v>
      </c>
      <c r="P452" s="3">
        <v>108.67</v>
      </c>
      <c r="Q452" s="3">
        <f>Table1_1[[#This Row],[Sales]]/Table1_1[[#This Row],[Quantity]]</f>
        <v>70.808888888888887</v>
      </c>
    </row>
    <row r="453" spans="1:17" x14ac:dyDescent="0.3">
      <c r="A453" t="s">
        <v>466</v>
      </c>
      <c r="B453" s="2">
        <f t="shared" si="11"/>
        <v>45195</v>
      </c>
      <c r="C453" t="s">
        <v>930</v>
      </c>
      <c r="D453" s="2">
        <v>45196</v>
      </c>
      <c r="E453" t="s">
        <v>1366</v>
      </c>
      <c r="F453" t="s">
        <v>1374</v>
      </c>
      <c r="G453" t="s">
        <v>1704</v>
      </c>
      <c r="H453" t="s">
        <v>1386</v>
      </c>
      <c r="I453" t="s">
        <v>1388</v>
      </c>
      <c r="J453" t="s">
        <v>1392</v>
      </c>
      <c r="K453" t="s">
        <v>1395</v>
      </c>
      <c r="L453" t="s">
        <v>1684</v>
      </c>
      <c r="M453" s="3">
        <v>785.57</v>
      </c>
      <c r="N453">
        <v>1</v>
      </c>
      <c r="O453" s="3">
        <v>0.1</v>
      </c>
      <c r="P453" s="3">
        <v>91.39</v>
      </c>
      <c r="Q453" s="3">
        <f>Table1_1[[#This Row],[Sales]]/Table1_1[[#This Row],[Quantity]]</f>
        <v>785.57</v>
      </c>
    </row>
    <row r="454" spans="1:17" hidden="1" x14ac:dyDescent="0.3">
      <c r="A454" t="s">
        <v>467</v>
      </c>
      <c r="B454" s="2" t="e">
        <f t="shared" ref="B454:B501" si="12">DATEVALUE(C454)</f>
        <v>#VALUE!</v>
      </c>
      <c r="C454" t="s">
        <v>1973</v>
      </c>
      <c r="D454" s="2">
        <v>44686</v>
      </c>
      <c r="E454" t="s">
        <v>1373</v>
      </c>
      <c r="F454" t="s">
        <v>1375</v>
      </c>
      <c r="G454" t="s">
        <v>1704</v>
      </c>
      <c r="H454" t="s">
        <v>1384</v>
      </c>
      <c r="I454" t="s">
        <v>1390</v>
      </c>
      <c r="J454" t="s">
        <v>1393</v>
      </c>
      <c r="K454" t="s">
        <v>1396</v>
      </c>
      <c r="L454" t="s">
        <v>1669</v>
      </c>
      <c r="M454" s="3">
        <v>280.27999999999997</v>
      </c>
      <c r="N454">
        <v>4</v>
      </c>
      <c r="O454" s="3">
        <v>0.2</v>
      </c>
      <c r="P454" s="3">
        <v>-8.7799999999999994</v>
      </c>
      <c r="Q454" s="3">
        <f>Table1_1[[#This Row],[Sales]]/Table1_1[[#This Row],[Quantity]]</f>
        <v>70.069999999999993</v>
      </c>
    </row>
    <row r="455" spans="1:17" x14ac:dyDescent="0.3">
      <c r="A455" t="s">
        <v>468</v>
      </c>
      <c r="B455" s="2">
        <f t="shared" si="12"/>
        <v>44608</v>
      </c>
      <c r="C455" t="s">
        <v>1784</v>
      </c>
      <c r="D455" s="2">
        <v>44618</v>
      </c>
      <c r="E455" t="s">
        <v>1362</v>
      </c>
      <c r="F455" t="s">
        <v>1375</v>
      </c>
      <c r="G455" t="s">
        <v>1704</v>
      </c>
      <c r="H455" t="s">
        <v>1387</v>
      </c>
      <c r="I455" t="s">
        <v>1388</v>
      </c>
      <c r="J455" t="s">
        <v>1392</v>
      </c>
      <c r="K455" t="s">
        <v>1397</v>
      </c>
      <c r="L455" t="s">
        <v>1685</v>
      </c>
      <c r="M455" s="3">
        <v>94.6</v>
      </c>
      <c r="N455">
        <v>5</v>
      </c>
      <c r="O455" s="3">
        <v>0.1</v>
      </c>
      <c r="P455" s="3">
        <v>16.91</v>
      </c>
      <c r="Q455" s="3">
        <f>Table1_1[[#This Row],[Sales]]/Table1_1[[#This Row],[Quantity]]</f>
        <v>18.919999999999998</v>
      </c>
    </row>
    <row r="456" spans="1:17" x14ac:dyDescent="0.3">
      <c r="A456" t="s">
        <v>469</v>
      </c>
      <c r="B456" s="2">
        <f t="shared" si="12"/>
        <v>44664</v>
      </c>
      <c r="C456" t="s">
        <v>1974</v>
      </c>
      <c r="D456" s="2">
        <v>44674</v>
      </c>
      <c r="E456" t="s">
        <v>1361</v>
      </c>
      <c r="F456" t="s">
        <v>1374</v>
      </c>
      <c r="G456" t="s">
        <v>1379</v>
      </c>
      <c r="H456" t="s">
        <v>1385</v>
      </c>
      <c r="I456" t="s">
        <v>1389</v>
      </c>
      <c r="J456" t="s">
        <v>1394</v>
      </c>
      <c r="K456" t="s">
        <v>1402</v>
      </c>
      <c r="L456" t="s">
        <v>1686</v>
      </c>
      <c r="M456" s="3">
        <v>38.44</v>
      </c>
      <c r="N456">
        <v>8</v>
      </c>
      <c r="O456" s="3">
        <v>0</v>
      </c>
      <c r="P456" s="3">
        <v>-7.57</v>
      </c>
      <c r="Q456" s="3">
        <f>Table1_1[[#This Row],[Sales]]/Table1_1[[#This Row],[Quantity]]</f>
        <v>4.8049999999999997</v>
      </c>
    </row>
    <row r="457" spans="1:17" x14ac:dyDescent="0.3">
      <c r="A457" t="s">
        <v>470</v>
      </c>
      <c r="B457" s="2">
        <f t="shared" si="12"/>
        <v>44691</v>
      </c>
      <c r="C457" t="s">
        <v>1975</v>
      </c>
      <c r="D457" s="2">
        <v>44695</v>
      </c>
      <c r="E457" t="s">
        <v>1364</v>
      </c>
      <c r="F457" t="s">
        <v>1375</v>
      </c>
      <c r="G457" t="s">
        <v>1704</v>
      </c>
      <c r="H457" t="s">
        <v>1382</v>
      </c>
      <c r="I457" t="s">
        <v>1389</v>
      </c>
      <c r="J457" t="s">
        <v>1392</v>
      </c>
      <c r="K457" t="s">
        <v>1395</v>
      </c>
      <c r="L457" t="s">
        <v>1520</v>
      </c>
      <c r="M457" s="3">
        <v>339.72</v>
      </c>
      <c r="N457">
        <v>8</v>
      </c>
      <c r="O457" s="3">
        <v>0.2</v>
      </c>
      <c r="P457" s="3">
        <v>-27.3</v>
      </c>
      <c r="Q457" s="3">
        <f>Table1_1[[#This Row],[Sales]]/Table1_1[[#This Row],[Quantity]]</f>
        <v>42.465000000000003</v>
      </c>
    </row>
    <row r="458" spans="1:17" x14ac:dyDescent="0.3">
      <c r="A458" t="s">
        <v>471</v>
      </c>
      <c r="B458" s="2">
        <f t="shared" si="12"/>
        <v>44565</v>
      </c>
      <c r="C458" t="s">
        <v>1976</v>
      </c>
      <c r="D458" s="2">
        <v>44657</v>
      </c>
      <c r="E458" t="s">
        <v>1361</v>
      </c>
      <c r="F458" t="s">
        <v>1376</v>
      </c>
      <c r="G458" t="s">
        <v>1704</v>
      </c>
      <c r="H458" t="s">
        <v>1385</v>
      </c>
      <c r="I458" t="s">
        <v>1390</v>
      </c>
      <c r="J458" t="s">
        <v>1394</v>
      </c>
      <c r="K458" t="s">
        <v>1403</v>
      </c>
      <c r="L458" t="s">
        <v>1450</v>
      </c>
      <c r="M458" s="3">
        <v>25.39</v>
      </c>
      <c r="N458">
        <v>4</v>
      </c>
      <c r="O458" s="3">
        <v>0.1</v>
      </c>
      <c r="P458" s="3">
        <v>-3.59</v>
      </c>
      <c r="Q458" s="3">
        <f>Table1_1[[#This Row],[Sales]]/Table1_1[[#This Row],[Quantity]]</f>
        <v>6.3475000000000001</v>
      </c>
    </row>
    <row r="459" spans="1:17" hidden="1" x14ac:dyDescent="0.3">
      <c r="A459" t="s">
        <v>472</v>
      </c>
      <c r="B459" s="2" t="e">
        <f t="shared" si="12"/>
        <v>#VALUE!</v>
      </c>
      <c r="C459" t="s">
        <v>1864</v>
      </c>
      <c r="D459" s="2">
        <v>44620</v>
      </c>
      <c r="E459" t="s">
        <v>1369</v>
      </c>
      <c r="F459" t="s">
        <v>1374</v>
      </c>
      <c r="G459" t="s">
        <v>1379</v>
      </c>
      <c r="H459" t="s">
        <v>1384</v>
      </c>
      <c r="I459" t="s">
        <v>1390</v>
      </c>
      <c r="J459" t="s">
        <v>1392</v>
      </c>
      <c r="K459" t="s">
        <v>1401</v>
      </c>
      <c r="L459" t="s">
        <v>1619</v>
      </c>
      <c r="M459" s="3">
        <v>828.59</v>
      </c>
      <c r="N459">
        <v>8</v>
      </c>
      <c r="O459" s="3">
        <v>0.2</v>
      </c>
      <c r="P459" s="3">
        <v>-92.67</v>
      </c>
      <c r="Q459" s="3">
        <f>Table1_1[[#This Row],[Sales]]/Table1_1[[#This Row],[Quantity]]</f>
        <v>103.57375</v>
      </c>
    </row>
    <row r="460" spans="1:17" x14ac:dyDescent="0.3">
      <c r="A460" t="s">
        <v>473</v>
      </c>
      <c r="B460" s="2">
        <f t="shared" si="12"/>
        <v>44819</v>
      </c>
      <c r="C460" t="s">
        <v>1977</v>
      </c>
      <c r="D460" s="2">
        <v>44825</v>
      </c>
      <c r="E460" t="s">
        <v>1365</v>
      </c>
      <c r="F460" t="s">
        <v>1375</v>
      </c>
      <c r="G460" t="s">
        <v>1379</v>
      </c>
      <c r="H460" t="s">
        <v>1387</v>
      </c>
      <c r="I460" t="s">
        <v>1389</v>
      </c>
      <c r="J460" t="s">
        <v>1393</v>
      </c>
      <c r="K460" t="s">
        <v>1399</v>
      </c>
      <c r="L460" t="s">
        <v>1548</v>
      </c>
      <c r="M460" s="3">
        <v>71.11</v>
      </c>
      <c r="N460">
        <v>1</v>
      </c>
      <c r="O460" s="3">
        <v>0</v>
      </c>
      <c r="P460" s="3">
        <v>-7.97</v>
      </c>
      <c r="Q460" s="3">
        <f>Table1_1[[#This Row],[Sales]]/Table1_1[[#This Row],[Quantity]]</f>
        <v>71.11</v>
      </c>
    </row>
    <row r="461" spans="1:17" x14ac:dyDescent="0.3">
      <c r="A461" t="s">
        <v>474</v>
      </c>
      <c r="B461" s="2">
        <f t="shared" si="12"/>
        <v>45155</v>
      </c>
      <c r="C461" t="s">
        <v>936</v>
      </c>
      <c r="D461" s="2">
        <v>45161</v>
      </c>
      <c r="E461" t="s">
        <v>1363</v>
      </c>
      <c r="F461" t="s">
        <v>1375</v>
      </c>
      <c r="G461" t="s">
        <v>1704</v>
      </c>
      <c r="H461" t="s">
        <v>1386</v>
      </c>
      <c r="I461" t="s">
        <v>1390</v>
      </c>
      <c r="J461" t="s">
        <v>1394</v>
      </c>
      <c r="K461" t="s">
        <v>1402</v>
      </c>
      <c r="L461" t="s">
        <v>1687</v>
      </c>
      <c r="M461" s="3">
        <v>901.56</v>
      </c>
      <c r="N461">
        <v>6</v>
      </c>
      <c r="O461" s="3">
        <v>0.1</v>
      </c>
      <c r="P461" s="3">
        <v>170.83</v>
      </c>
      <c r="Q461" s="3">
        <f>Table1_1[[#This Row],[Sales]]/Table1_1[[#This Row],[Quantity]]</f>
        <v>150.26</v>
      </c>
    </row>
    <row r="462" spans="1:17" hidden="1" x14ac:dyDescent="0.3">
      <c r="A462" t="s">
        <v>475</v>
      </c>
      <c r="B462" s="2" t="e">
        <f t="shared" si="12"/>
        <v>#VALUE!</v>
      </c>
      <c r="C462" t="s">
        <v>1978</v>
      </c>
      <c r="D462" s="2">
        <v>44789</v>
      </c>
      <c r="E462" t="s">
        <v>1367</v>
      </c>
      <c r="F462" t="s">
        <v>1376</v>
      </c>
      <c r="G462" t="s">
        <v>1379</v>
      </c>
      <c r="H462" t="s">
        <v>1387</v>
      </c>
      <c r="I462" t="s">
        <v>1389</v>
      </c>
      <c r="J462" t="s">
        <v>1394</v>
      </c>
      <c r="K462" t="s">
        <v>1398</v>
      </c>
      <c r="L462" t="s">
        <v>1688</v>
      </c>
      <c r="M462" s="3">
        <v>591.6</v>
      </c>
      <c r="N462">
        <v>7</v>
      </c>
      <c r="O462" s="3">
        <v>0.1</v>
      </c>
      <c r="P462" s="3">
        <v>-54.38</v>
      </c>
      <c r="Q462" s="3">
        <f>Table1_1[[#This Row],[Sales]]/Table1_1[[#This Row],[Quantity]]</f>
        <v>84.51428571428572</v>
      </c>
    </row>
    <row r="463" spans="1:17" x14ac:dyDescent="0.3">
      <c r="A463" t="s">
        <v>476</v>
      </c>
      <c r="B463" s="2">
        <f t="shared" si="12"/>
        <v>44760</v>
      </c>
      <c r="C463" t="s">
        <v>1979</v>
      </c>
      <c r="D463" s="2">
        <v>44766</v>
      </c>
      <c r="E463" t="s">
        <v>1366</v>
      </c>
      <c r="F463" t="s">
        <v>1376</v>
      </c>
      <c r="G463" t="s">
        <v>1704</v>
      </c>
      <c r="H463" t="s">
        <v>1387</v>
      </c>
      <c r="I463" t="s">
        <v>1391</v>
      </c>
      <c r="J463" t="s">
        <v>1394</v>
      </c>
      <c r="K463" t="s">
        <v>1402</v>
      </c>
      <c r="L463" t="s">
        <v>1601</v>
      </c>
      <c r="M463" s="3">
        <v>416.35</v>
      </c>
      <c r="N463">
        <v>1</v>
      </c>
      <c r="O463" s="3">
        <v>0</v>
      </c>
      <c r="P463" s="3">
        <v>-70.849999999999994</v>
      </c>
      <c r="Q463" s="3">
        <f>Table1_1[[#This Row],[Sales]]/Table1_1[[#This Row],[Quantity]]</f>
        <v>416.35</v>
      </c>
    </row>
    <row r="464" spans="1:17" x14ac:dyDescent="0.3">
      <c r="A464" t="s">
        <v>477</v>
      </c>
      <c r="B464" s="2">
        <f t="shared" si="12"/>
        <v>44864</v>
      </c>
      <c r="C464" t="s">
        <v>1980</v>
      </c>
      <c r="D464" s="2">
        <v>44874</v>
      </c>
      <c r="E464" t="s">
        <v>1366</v>
      </c>
      <c r="F464" t="s">
        <v>1374</v>
      </c>
      <c r="G464" t="s">
        <v>1704</v>
      </c>
      <c r="H464" t="s">
        <v>1386</v>
      </c>
      <c r="I464" t="s">
        <v>1390</v>
      </c>
      <c r="J464" t="s">
        <v>1392</v>
      </c>
      <c r="K464" t="s">
        <v>1395</v>
      </c>
      <c r="L464" t="s">
        <v>1689</v>
      </c>
      <c r="M464" s="3">
        <v>1144.26</v>
      </c>
      <c r="N464">
        <v>3</v>
      </c>
      <c r="O464" s="3">
        <v>0</v>
      </c>
      <c r="P464" s="3">
        <v>326.19</v>
      </c>
      <c r="Q464" s="3">
        <f>Table1_1[[#This Row],[Sales]]/Table1_1[[#This Row],[Quantity]]</f>
        <v>381.42</v>
      </c>
    </row>
    <row r="465" spans="1:17" hidden="1" x14ac:dyDescent="0.3">
      <c r="A465" t="s">
        <v>478</v>
      </c>
      <c r="B465" s="2" t="e">
        <f t="shared" si="12"/>
        <v>#VALUE!</v>
      </c>
      <c r="C465" t="s">
        <v>1981</v>
      </c>
      <c r="D465" s="2">
        <v>45054</v>
      </c>
      <c r="E465" t="s">
        <v>1370</v>
      </c>
      <c r="F465" t="s">
        <v>1375</v>
      </c>
      <c r="G465" t="s">
        <v>1379</v>
      </c>
      <c r="H465" t="s">
        <v>1385</v>
      </c>
      <c r="I465" t="s">
        <v>1388</v>
      </c>
      <c r="J465" t="s">
        <v>1394</v>
      </c>
      <c r="K465" t="s">
        <v>1402</v>
      </c>
      <c r="L465" t="s">
        <v>1623</v>
      </c>
      <c r="M465" s="3">
        <v>881.42</v>
      </c>
      <c r="N465">
        <v>4</v>
      </c>
      <c r="O465" s="3">
        <v>0.1</v>
      </c>
      <c r="P465" s="3">
        <v>-32.04</v>
      </c>
      <c r="Q465" s="3">
        <f>Table1_1[[#This Row],[Sales]]/Table1_1[[#This Row],[Quantity]]</f>
        <v>220.35499999999999</v>
      </c>
    </row>
    <row r="466" spans="1:17" x14ac:dyDescent="0.3">
      <c r="A466" t="s">
        <v>479</v>
      </c>
      <c r="B466" s="2">
        <f t="shared" si="12"/>
        <v>45043</v>
      </c>
      <c r="C466" t="s">
        <v>1982</v>
      </c>
      <c r="D466" s="2">
        <v>45052</v>
      </c>
      <c r="E466" t="s">
        <v>1361</v>
      </c>
      <c r="F466" t="s">
        <v>1375</v>
      </c>
      <c r="G466" t="s">
        <v>1704</v>
      </c>
      <c r="H466" t="s">
        <v>1387</v>
      </c>
      <c r="I466" t="s">
        <v>1390</v>
      </c>
      <c r="J466" t="s">
        <v>1392</v>
      </c>
      <c r="K466" t="s">
        <v>1397</v>
      </c>
      <c r="L466" t="s">
        <v>1521</v>
      </c>
      <c r="M466" s="3">
        <v>646.72</v>
      </c>
      <c r="N466">
        <v>8</v>
      </c>
      <c r="O466" s="3">
        <v>0</v>
      </c>
      <c r="P466" s="3">
        <v>16.96</v>
      </c>
      <c r="Q466" s="3">
        <f>Table1_1[[#This Row],[Sales]]/Table1_1[[#This Row],[Quantity]]</f>
        <v>80.84</v>
      </c>
    </row>
    <row r="467" spans="1:17" hidden="1" x14ac:dyDescent="0.3">
      <c r="A467" t="s">
        <v>480</v>
      </c>
      <c r="B467" s="2" t="e">
        <f t="shared" si="12"/>
        <v>#VALUE!</v>
      </c>
      <c r="C467" t="s">
        <v>1889</v>
      </c>
      <c r="D467" s="2">
        <v>44868</v>
      </c>
      <c r="E467" t="s">
        <v>1359</v>
      </c>
      <c r="F467" t="s">
        <v>1376</v>
      </c>
      <c r="G467" t="s">
        <v>1704</v>
      </c>
      <c r="H467" t="s">
        <v>1386</v>
      </c>
      <c r="I467" t="s">
        <v>1390</v>
      </c>
      <c r="J467" t="s">
        <v>1393</v>
      </c>
      <c r="K467" t="s">
        <v>1400</v>
      </c>
      <c r="L467" t="s">
        <v>1678</v>
      </c>
      <c r="M467" s="3">
        <v>38.799999999999997</v>
      </c>
      <c r="N467">
        <v>5</v>
      </c>
      <c r="O467" s="3">
        <v>0.1</v>
      </c>
      <c r="P467" s="3">
        <v>5.88</v>
      </c>
      <c r="Q467" s="3">
        <f>Table1_1[[#This Row],[Sales]]/Table1_1[[#This Row],[Quantity]]</f>
        <v>7.76</v>
      </c>
    </row>
    <row r="468" spans="1:17" hidden="1" x14ac:dyDescent="0.3">
      <c r="A468" t="s">
        <v>481</v>
      </c>
      <c r="B468" s="2" t="e">
        <f t="shared" si="12"/>
        <v>#VALUE!</v>
      </c>
      <c r="C468" t="s">
        <v>1983</v>
      </c>
      <c r="D468" s="2">
        <v>44980</v>
      </c>
      <c r="E468" t="s">
        <v>1362</v>
      </c>
      <c r="F468" t="s">
        <v>1375</v>
      </c>
      <c r="G468" t="s">
        <v>1379</v>
      </c>
      <c r="H468" t="s">
        <v>1385</v>
      </c>
      <c r="I468" t="s">
        <v>1391</v>
      </c>
      <c r="J468" t="s">
        <v>1394</v>
      </c>
      <c r="K468" t="s">
        <v>1398</v>
      </c>
      <c r="L468" t="s">
        <v>1470</v>
      </c>
      <c r="M468" s="3">
        <v>567.87</v>
      </c>
      <c r="N468">
        <v>1</v>
      </c>
      <c r="O468" s="3">
        <v>0</v>
      </c>
      <c r="P468" s="3">
        <v>-4.29</v>
      </c>
      <c r="Q468" s="3">
        <f>Table1_1[[#This Row],[Sales]]/Table1_1[[#This Row],[Quantity]]</f>
        <v>567.87</v>
      </c>
    </row>
    <row r="469" spans="1:17" hidden="1" x14ac:dyDescent="0.3">
      <c r="A469" t="s">
        <v>482</v>
      </c>
      <c r="B469" s="2" t="e">
        <f t="shared" si="12"/>
        <v>#VALUE!</v>
      </c>
      <c r="C469" t="s">
        <v>1984</v>
      </c>
      <c r="D469" s="2">
        <v>45198</v>
      </c>
      <c r="E469" t="s">
        <v>1361</v>
      </c>
      <c r="F469" t="s">
        <v>1374</v>
      </c>
      <c r="G469" t="s">
        <v>1379</v>
      </c>
      <c r="H469" t="s">
        <v>1381</v>
      </c>
      <c r="I469" t="s">
        <v>1388</v>
      </c>
      <c r="J469" t="s">
        <v>1393</v>
      </c>
      <c r="K469" t="s">
        <v>1400</v>
      </c>
      <c r="L469" t="s">
        <v>1647</v>
      </c>
      <c r="M469" s="3">
        <v>949.48</v>
      </c>
      <c r="N469">
        <v>2</v>
      </c>
      <c r="O469" s="3">
        <v>0</v>
      </c>
      <c r="P469" s="3">
        <v>228.28</v>
      </c>
      <c r="Q469" s="3">
        <f>Table1_1[[#This Row],[Sales]]/Table1_1[[#This Row],[Quantity]]</f>
        <v>474.74</v>
      </c>
    </row>
    <row r="470" spans="1:17" x14ac:dyDescent="0.3">
      <c r="A470" t="s">
        <v>483</v>
      </c>
      <c r="B470" s="2">
        <f t="shared" si="12"/>
        <v>45200</v>
      </c>
      <c r="C470" t="s">
        <v>1985</v>
      </c>
      <c r="D470" s="2">
        <v>44944</v>
      </c>
      <c r="E470" t="s">
        <v>1363</v>
      </c>
      <c r="F470" t="s">
        <v>1376</v>
      </c>
      <c r="G470" t="s">
        <v>1704</v>
      </c>
      <c r="H470" t="s">
        <v>1383</v>
      </c>
      <c r="I470" t="s">
        <v>1388</v>
      </c>
      <c r="J470" t="s">
        <v>1393</v>
      </c>
      <c r="K470" t="s">
        <v>1400</v>
      </c>
      <c r="L470" t="s">
        <v>1690</v>
      </c>
      <c r="M470" s="3">
        <v>451.37</v>
      </c>
      <c r="N470">
        <v>3</v>
      </c>
      <c r="O470" s="3">
        <v>0</v>
      </c>
      <c r="P470" s="3">
        <v>68.81</v>
      </c>
      <c r="Q470" s="3">
        <f>Table1_1[[#This Row],[Sales]]/Table1_1[[#This Row],[Quantity]]</f>
        <v>150.45666666666668</v>
      </c>
    </row>
    <row r="471" spans="1:17" x14ac:dyDescent="0.3">
      <c r="A471" t="s">
        <v>484</v>
      </c>
      <c r="B471" s="2">
        <f t="shared" si="12"/>
        <v>45051</v>
      </c>
      <c r="C471" t="s">
        <v>945</v>
      </c>
      <c r="D471" s="2">
        <v>45061</v>
      </c>
      <c r="E471" t="s">
        <v>1364</v>
      </c>
      <c r="F471" t="s">
        <v>1376</v>
      </c>
      <c r="G471" t="s">
        <v>1379</v>
      </c>
      <c r="H471" t="s">
        <v>1381</v>
      </c>
      <c r="I471" t="s">
        <v>1388</v>
      </c>
      <c r="J471" t="s">
        <v>1393</v>
      </c>
      <c r="K471" t="s">
        <v>1400</v>
      </c>
      <c r="L471" t="s">
        <v>1445</v>
      </c>
      <c r="M471" s="3">
        <v>908.74</v>
      </c>
      <c r="N471">
        <v>4</v>
      </c>
      <c r="O471" s="3">
        <v>0.15</v>
      </c>
      <c r="P471" s="3">
        <v>-21.49</v>
      </c>
      <c r="Q471" s="3">
        <f>Table1_1[[#This Row],[Sales]]/Table1_1[[#This Row],[Quantity]]</f>
        <v>227.185</v>
      </c>
    </row>
    <row r="472" spans="1:17" hidden="1" x14ac:dyDescent="0.3">
      <c r="A472" t="s">
        <v>485</v>
      </c>
      <c r="B472" s="2" t="e">
        <f t="shared" si="12"/>
        <v>#VALUE!</v>
      </c>
      <c r="C472" t="s">
        <v>1986</v>
      </c>
      <c r="D472" s="2">
        <v>44923</v>
      </c>
      <c r="E472" t="s">
        <v>1360</v>
      </c>
      <c r="F472" t="s">
        <v>1376</v>
      </c>
      <c r="G472" t="s">
        <v>1379</v>
      </c>
      <c r="H472" t="s">
        <v>1386</v>
      </c>
      <c r="I472" t="s">
        <v>1388</v>
      </c>
      <c r="J472" t="s">
        <v>1394</v>
      </c>
      <c r="K472" t="s">
        <v>1398</v>
      </c>
      <c r="L472" t="s">
        <v>1691</v>
      </c>
      <c r="M472" s="3">
        <v>641.49</v>
      </c>
      <c r="N472">
        <v>2</v>
      </c>
      <c r="O472" s="3">
        <v>0.2</v>
      </c>
      <c r="P472" s="3">
        <v>99.37</v>
      </c>
      <c r="Q472" s="3">
        <f>Table1_1[[#This Row],[Sales]]/Table1_1[[#This Row],[Quantity]]</f>
        <v>320.745</v>
      </c>
    </row>
    <row r="473" spans="1:17" x14ac:dyDescent="0.3">
      <c r="A473" t="s">
        <v>486</v>
      </c>
      <c r="B473" s="2">
        <f t="shared" si="12"/>
        <v>45030</v>
      </c>
      <c r="C473" t="s">
        <v>879</v>
      </c>
      <c r="D473" s="2">
        <v>45032</v>
      </c>
      <c r="E473" t="s">
        <v>1361</v>
      </c>
      <c r="F473" t="s">
        <v>1375</v>
      </c>
      <c r="G473" t="s">
        <v>1704</v>
      </c>
      <c r="H473" t="s">
        <v>1387</v>
      </c>
      <c r="I473" t="s">
        <v>1390</v>
      </c>
      <c r="J473" t="s">
        <v>1392</v>
      </c>
      <c r="K473" t="s">
        <v>1397</v>
      </c>
      <c r="L473" t="s">
        <v>1488</v>
      </c>
      <c r="M473" s="3">
        <v>1079.58</v>
      </c>
      <c r="N473">
        <v>5</v>
      </c>
      <c r="O473" s="3">
        <v>0</v>
      </c>
      <c r="P473" s="3">
        <v>-156.88</v>
      </c>
      <c r="Q473" s="3">
        <f>Table1_1[[#This Row],[Sales]]/Table1_1[[#This Row],[Quantity]]</f>
        <v>215.916</v>
      </c>
    </row>
    <row r="474" spans="1:17" x14ac:dyDescent="0.3">
      <c r="A474" t="s">
        <v>487</v>
      </c>
      <c r="B474" s="2">
        <f t="shared" si="12"/>
        <v>45204</v>
      </c>
      <c r="C474" t="s">
        <v>947</v>
      </c>
      <c r="D474" s="2">
        <v>45205</v>
      </c>
      <c r="E474" t="s">
        <v>1365</v>
      </c>
      <c r="F474" t="s">
        <v>1374</v>
      </c>
      <c r="G474" t="s">
        <v>1379</v>
      </c>
      <c r="H474" t="s">
        <v>1384</v>
      </c>
      <c r="I474" t="s">
        <v>1390</v>
      </c>
      <c r="J474" t="s">
        <v>1394</v>
      </c>
      <c r="K474" t="s">
        <v>1403</v>
      </c>
      <c r="L474" t="s">
        <v>1692</v>
      </c>
      <c r="M474" s="3">
        <v>1164.0999999999999</v>
      </c>
      <c r="N474">
        <v>9</v>
      </c>
      <c r="O474" s="3">
        <v>0.1</v>
      </c>
      <c r="P474" s="3">
        <v>43.02</v>
      </c>
      <c r="Q474" s="3">
        <f>Table1_1[[#This Row],[Sales]]/Table1_1[[#This Row],[Quantity]]</f>
        <v>129.34444444444443</v>
      </c>
    </row>
    <row r="475" spans="1:17" x14ac:dyDescent="0.3">
      <c r="A475" t="s">
        <v>488</v>
      </c>
      <c r="B475" s="2">
        <f t="shared" si="12"/>
        <v>44584</v>
      </c>
      <c r="C475" t="s">
        <v>668</v>
      </c>
      <c r="D475" s="2">
        <v>44588</v>
      </c>
      <c r="E475" t="s">
        <v>1365</v>
      </c>
      <c r="F475" t="s">
        <v>1374</v>
      </c>
      <c r="G475" t="s">
        <v>1704</v>
      </c>
      <c r="H475" t="s">
        <v>1385</v>
      </c>
      <c r="I475" t="s">
        <v>1391</v>
      </c>
      <c r="J475" t="s">
        <v>1393</v>
      </c>
      <c r="K475" t="s">
        <v>1396</v>
      </c>
      <c r="L475" t="s">
        <v>1596</v>
      </c>
      <c r="M475" s="3">
        <v>416.34</v>
      </c>
      <c r="N475">
        <v>10</v>
      </c>
      <c r="O475" s="3">
        <v>0.15</v>
      </c>
      <c r="P475" s="3">
        <v>53.24</v>
      </c>
      <c r="Q475" s="3">
        <f>Table1_1[[#This Row],[Sales]]/Table1_1[[#This Row],[Quantity]]</f>
        <v>41.634</v>
      </c>
    </row>
    <row r="476" spans="1:17" x14ac:dyDescent="0.3">
      <c r="A476" t="s">
        <v>489</v>
      </c>
      <c r="B476" s="2">
        <f t="shared" si="12"/>
        <v>44697</v>
      </c>
      <c r="C476" t="s">
        <v>1816</v>
      </c>
      <c r="D476" s="2">
        <v>44702</v>
      </c>
      <c r="E476" t="s">
        <v>1368</v>
      </c>
      <c r="F476" t="s">
        <v>1376</v>
      </c>
      <c r="G476" t="s">
        <v>1704</v>
      </c>
      <c r="H476" t="s">
        <v>1387</v>
      </c>
      <c r="I476" t="s">
        <v>1390</v>
      </c>
      <c r="J476" t="s">
        <v>1392</v>
      </c>
      <c r="K476" t="s">
        <v>1397</v>
      </c>
      <c r="L476" t="s">
        <v>1508</v>
      </c>
      <c r="M476" s="3">
        <v>287.60000000000002</v>
      </c>
      <c r="N476">
        <v>6</v>
      </c>
      <c r="O476" s="3">
        <v>0.15</v>
      </c>
      <c r="P476" s="3">
        <v>53.17</v>
      </c>
      <c r="Q476" s="3">
        <f>Table1_1[[#This Row],[Sales]]/Table1_1[[#This Row],[Quantity]]</f>
        <v>47.933333333333337</v>
      </c>
    </row>
    <row r="477" spans="1:17" x14ac:dyDescent="0.3">
      <c r="A477" t="s">
        <v>490</v>
      </c>
      <c r="B477" s="2">
        <f t="shared" si="12"/>
        <v>45110</v>
      </c>
      <c r="C477" t="s">
        <v>1987</v>
      </c>
      <c r="D477" s="2">
        <v>45115</v>
      </c>
      <c r="E477" t="s">
        <v>1362</v>
      </c>
      <c r="F477" t="s">
        <v>1375</v>
      </c>
      <c r="G477" t="s">
        <v>1704</v>
      </c>
      <c r="H477" t="s">
        <v>1384</v>
      </c>
      <c r="I477" t="s">
        <v>1391</v>
      </c>
      <c r="J477" t="s">
        <v>1392</v>
      </c>
      <c r="K477" t="s">
        <v>1401</v>
      </c>
      <c r="L477" t="s">
        <v>1693</v>
      </c>
      <c r="M477" s="3">
        <v>1010.41</v>
      </c>
      <c r="N477">
        <v>3</v>
      </c>
      <c r="O477" s="3">
        <v>0.1</v>
      </c>
      <c r="P477" s="3">
        <v>-81.89</v>
      </c>
      <c r="Q477" s="3">
        <f>Table1_1[[#This Row],[Sales]]/Table1_1[[#This Row],[Quantity]]</f>
        <v>336.80333333333334</v>
      </c>
    </row>
    <row r="478" spans="1:17" hidden="1" x14ac:dyDescent="0.3">
      <c r="A478" t="s">
        <v>491</v>
      </c>
      <c r="B478" s="2" t="e">
        <f t="shared" si="12"/>
        <v>#VALUE!</v>
      </c>
      <c r="C478" t="s">
        <v>1988</v>
      </c>
      <c r="D478" s="2">
        <v>44781</v>
      </c>
      <c r="E478" t="s">
        <v>1370</v>
      </c>
      <c r="F478" t="s">
        <v>1376</v>
      </c>
      <c r="G478" t="s">
        <v>1379</v>
      </c>
      <c r="H478" t="s">
        <v>1381</v>
      </c>
      <c r="I478" t="s">
        <v>1389</v>
      </c>
      <c r="J478" t="s">
        <v>1393</v>
      </c>
      <c r="K478" t="s">
        <v>1400</v>
      </c>
      <c r="L478" t="s">
        <v>1694</v>
      </c>
      <c r="M478" s="3">
        <v>805.35</v>
      </c>
      <c r="N478">
        <v>6</v>
      </c>
      <c r="O478" s="3">
        <v>0.1</v>
      </c>
      <c r="P478" s="3">
        <v>-10.91</v>
      </c>
      <c r="Q478" s="3">
        <f>Table1_1[[#This Row],[Sales]]/Table1_1[[#This Row],[Quantity]]</f>
        <v>134.22499999999999</v>
      </c>
    </row>
    <row r="479" spans="1:17" hidden="1" x14ac:dyDescent="0.3">
      <c r="A479" t="s">
        <v>492</v>
      </c>
      <c r="B479" s="2" t="e">
        <f t="shared" si="12"/>
        <v>#VALUE!</v>
      </c>
      <c r="C479" t="s">
        <v>1989</v>
      </c>
      <c r="D479" s="2">
        <v>45351</v>
      </c>
      <c r="E479" t="s">
        <v>1372</v>
      </c>
      <c r="F479" t="s">
        <v>1376</v>
      </c>
      <c r="G479" t="s">
        <v>1704</v>
      </c>
      <c r="H479" t="s">
        <v>1386</v>
      </c>
      <c r="I479" t="s">
        <v>1389</v>
      </c>
      <c r="J479" t="s">
        <v>1394</v>
      </c>
      <c r="K479" t="s">
        <v>1403</v>
      </c>
      <c r="L479" t="s">
        <v>1438</v>
      </c>
      <c r="M479" s="3">
        <v>204.14</v>
      </c>
      <c r="N479">
        <v>9</v>
      </c>
      <c r="O479" s="3">
        <v>0</v>
      </c>
      <c r="P479" s="3">
        <v>-7.01</v>
      </c>
      <c r="Q479" s="3">
        <f>Table1_1[[#This Row],[Sales]]/Table1_1[[#This Row],[Quantity]]</f>
        <v>22.682222222222222</v>
      </c>
    </row>
    <row r="480" spans="1:17" x14ac:dyDescent="0.3">
      <c r="A480" t="s">
        <v>493</v>
      </c>
      <c r="B480" s="2">
        <f t="shared" si="12"/>
        <v>45267</v>
      </c>
      <c r="C480" t="s">
        <v>1990</v>
      </c>
      <c r="D480" s="2">
        <v>45269</v>
      </c>
      <c r="E480" t="s">
        <v>1365</v>
      </c>
      <c r="F480" t="s">
        <v>1375</v>
      </c>
      <c r="G480" t="s">
        <v>1704</v>
      </c>
      <c r="H480" t="s">
        <v>1384</v>
      </c>
      <c r="I480" t="s">
        <v>1388</v>
      </c>
      <c r="J480" t="s">
        <v>1393</v>
      </c>
      <c r="K480" t="s">
        <v>1399</v>
      </c>
      <c r="L480" t="s">
        <v>1695</v>
      </c>
      <c r="M480" s="3">
        <v>1082.21</v>
      </c>
      <c r="N480">
        <v>3</v>
      </c>
      <c r="O480" s="3">
        <v>0</v>
      </c>
      <c r="P480" s="3">
        <v>-153.19999999999999</v>
      </c>
      <c r="Q480" s="3">
        <f>Table1_1[[#This Row],[Sales]]/Table1_1[[#This Row],[Quantity]]</f>
        <v>360.73666666666668</v>
      </c>
    </row>
    <row r="481" spans="1:17" x14ac:dyDescent="0.3">
      <c r="A481" t="s">
        <v>494</v>
      </c>
      <c r="B481" s="2">
        <f t="shared" si="12"/>
        <v>44618</v>
      </c>
      <c r="C481" t="s">
        <v>1952</v>
      </c>
      <c r="D481" s="2">
        <v>44628</v>
      </c>
      <c r="E481" t="s">
        <v>1360</v>
      </c>
      <c r="F481" t="s">
        <v>1374</v>
      </c>
      <c r="G481" t="s">
        <v>1379</v>
      </c>
      <c r="H481" t="s">
        <v>1383</v>
      </c>
      <c r="I481" t="s">
        <v>1389</v>
      </c>
      <c r="J481" t="s">
        <v>1393</v>
      </c>
      <c r="K481" t="s">
        <v>1400</v>
      </c>
      <c r="L481" t="s">
        <v>1696</v>
      </c>
      <c r="M481" s="3">
        <v>708.45</v>
      </c>
      <c r="N481">
        <v>4</v>
      </c>
      <c r="O481" s="3">
        <v>0.15</v>
      </c>
      <c r="P481" s="3">
        <v>-72.36</v>
      </c>
      <c r="Q481" s="3">
        <f>Table1_1[[#This Row],[Sales]]/Table1_1[[#This Row],[Quantity]]</f>
        <v>177.11250000000001</v>
      </c>
    </row>
    <row r="482" spans="1:17" hidden="1" x14ac:dyDescent="0.3">
      <c r="A482" t="s">
        <v>495</v>
      </c>
      <c r="B482" s="2" t="e">
        <f t="shared" si="12"/>
        <v>#VALUE!</v>
      </c>
      <c r="C482" t="s">
        <v>1814</v>
      </c>
      <c r="D482" s="2">
        <v>45070</v>
      </c>
      <c r="E482" t="s">
        <v>1373</v>
      </c>
      <c r="F482" t="s">
        <v>1376</v>
      </c>
      <c r="G482" t="s">
        <v>1379</v>
      </c>
      <c r="H482" t="s">
        <v>1381</v>
      </c>
      <c r="I482" t="s">
        <v>1391</v>
      </c>
      <c r="J482" t="s">
        <v>1393</v>
      </c>
      <c r="K482" t="s">
        <v>1396</v>
      </c>
      <c r="L482" t="s">
        <v>1563</v>
      </c>
      <c r="M482" s="3">
        <v>623.64</v>
      </c>
      <c r="N482">
        <v>1</v>
      </c>
      <c r="O482" s="3">
        <v>0.15</v>
      </c>
      <c r="P482" s="3">
        <v>-0.76</v>
      </c>
      <c r="Q482" s="3">
        <f>Table1_1[[#This Row],[Sales]]/Table1_1[[#This Row],[Quantity]]</f>
        <v>623.64</v>
      </c>
    </row>
    <row r="483" spans="1:17" x14ac:dyDescent="0.3">
      <c r="A483" t="s">
        <v>496</v>
      </c>
      <c r="B483" s="2">
        <f t="shared" si="12"/>
        <v>44921</v>
      </c>
      <c r="C483" t="s">
        <v>952</v>
      </c>
      <c r="D483" s="2">
        <v>44926</v>
      </c>
      <c r="E483" t="s">
        <v>1370</v>
      </c>
      <c r="F483" t="s">
        <v>1376</v>
      </c>
      <c r="G483" t="s">
        <v>1704</v>
      </c>
      <c r="H483" t="s">
        <v>1387</v>
      </c>
      <c r="I483" t="s">
        <v>1388</v>
      </c>
      <c r="J483" t="s">
        <v>1394</v>
      </c>
      <c r="K483" t="s">
        <v>1398</v>
      </c>
      <c r="L483" t="s">
        <v>1590</v>
      </c>
      <c r="M483" s="3">
        <v>123.37</v>
      </c>
      <c r="N483">
        <v>8</v>
      </c>
      <c r="O483" s="3">
        <v>0.2</v>
      </c>
      <c r="P483" s="3">
        <v>24.9</v>
      </c>
      <c r="Q483" s="3">
        <f>Table1_1[[#This Row],[Sales]]/Table1_1[[#This Row],[Quantity]]</f>
        <v>15.421250000000001</v>
      </c>
    </row>
    <row r="484" spans="1:17" x14ac:dyDescent="0.3">
      <c r="A484" t="s">
        <v>497</v>
      </c>
      <c r="B484" s="2">
        <f t="shared" si="12"/>
        <v>44774</v>
      </c>
      <c r="C484" t="s">
        <v>1991</v>
      </c>
      <c r="D484" s="2">
        <v>44779</v>
      </c>
      <c r="E484" t="s">
        <v>1366</v>
      </c>
      <c r="F484" t="s">
        <v>1374</v>
      </c>
      <c r="G484" t="s">
        <v>1379</v>
      </c>
      <c r="H484" t="s">
        <v>1385</v>
      </c>
      <c r="I484" t="s">
        <v>1390</v>
      </c>
      <c r="J484" t="s">
        <v>1394</v>
      </c>
      <c r="K484" t="s">
        <v>1398</v>
      </c>
      <c r="L484" t="s">
        <v>1697</v>
      </c>
      <c r="M484" s="3">
        <v>1184.23</v>
      </c>
      <c r="N484">
        <v>2</v>
      </c>
      <c r="O484" s="3">
        <v>0</v>
      </c>
      <c r="P484" s="3">
        <v>210.86</v>
      </c>
      <c r="Q484" s="3">
        <f>Table1_1[[#This Row],[Sales]]/Table1_1[[#This Row],[Quantity]]</f>
        <v>592.11500000000001</v>
      </c>
    </row>
    <row r="485" spans="1:17" x14ac:dyDescent="0.3">
      <c r="A485" t="s">
        <v>498</v>
      </c>
      <c r="B485" s="2">
        <f t="shared" si="12"/>
        <v>45035</v>
      </c>
      <c r="C485" t="s">
        <v>1992</v>
      </c>
      <c r="D485" s="2">
        <v>45045</v>
      </c>
      <c r="E485" t="s">
        <v>1362</v>
      </c>
      <c r="F485" t="s">
        <v>1376</v>
      </c>
      <c r="G485" t="s">
        <v>1704</v>
      </c>
      <c r="H485" t="s">
        <v>1383</v>
      </c>
      <c r="I485" t="s">
        <v>1389</v>
      </c>
      <c r="J485" t="s">
        <v>1392</v>
      </c>
      <c r="K485" t="s">
        <v>1401</v>
      </c>
      <c r="L485" t="s">
        <v>1698</v>
      </c>
      <c r="M485" s="3">
        <v>239.49</v>
      </c>
      <c r="N485">
        <v>7</v>
      </c>
      <c r="O485" s="3">
        <v>0.15</v>
      </c>
      <c r="P485" s="3">
        <v>18.420000000000002</v>
      </c>
      <c r="Q485" s="3">
        <f>Table1_1[[#This Row],[Sales]]/Table1_1[[#This Row],[Quantity]]</f>
        <v>34.212857142857146</v>
      </c>
    </row>
    <row r="486" spans="1:17" x14ac:dyDescent="0.3">
      <c r="A486" t="s">
        <v>499</v>
      </c>
      <c r="B486" s="2">
        <f t="shared" si="12"/>
        <v>44589</v>
      </c>
      <c r="C486" t="s">
        <v>955</v>
      </c>
      <c r="D486" s="2">
        <v>44590</v>
      </c>
      <c r="E486" t="s">
        <v>1367</v>
      </c>
      <c r="F486" t="s">
        <v>1376</v>
      </c>
      <c r="G486" t="s">
        <v>1704</v>
      </c>
      <c r="H486" t="s">
        <v>1381</v>
      </c>
      <c r="I486" t="s">
        <v>1388</v>
      </c>
      <c r="J486" t="s">
        <v>1392</v>
      </c>
      <c r="K486" t="s">
        <v>1397</v>
      </c>
      <c r="L486" t="s">
        <v>1460</v>
      </c>
      <c r="M486" s="3">
        <v>374.2</v>
      </c>
      <c r="N486">
        <v>8</v>
      </c>
      <c r="O486" s="3">
        <v>0</v>
      </c>
      <c r="P486" s="3">
        <v>47.49</v>
      </c>
      <c r="Q486" s="3">
        <f>Table1_1[[#This Row],[Sales]]/Table1_1[[#This Row],[Quantity]]</f>
        <v>46.774999999999999</v>
      </c>
    </row>
    <row r="487" spans="1:17" x14ac:dyDescent="0.3">
      <c r="A487" t="s">
        <v>500</v>
      </c>
      <c r="B487" s="2">
        <f t="shared" si="12"/>
        <v>44845</v>
      </c>
      <c r="C487" t="s">
        <v>956</v>
      </c>
      <c r="D487" s="2">
        <v>44853</v>
      </c>
      <c r="E487" t="s">
        <v>1365</v>
      </c>
      <c r="F487" t="s">
        <v>1375</v>
      </c>
      <c r="G487" t="s">
        <v>1379</v>
      </c>
      <c r="H487" t="s">
        <v>1383</v>
      </c>
      <c r="I487" t="s">
        <v>1388</v>
      </c>
      <c r="J487" t="s">
        <v>1392</v>
      </c>
      <c r="K487" t="s">
        <v>1395</v>
      </c>
      <c r="L487" t="s">
        <v>1660</v>
      </c>
      <c r="M487" s="3">
        <v>899.77</v>
      </c>
      <c r="N487">
        <v>10</v>
      </c>
      <c r="O487" s="3">
        <v>0.2</v>
      </c>
      <c r="P487" s="3">
        <v>74.489999999999995</v>
      </c>
      <c r="Q487" s="3">
        <f>Table1_1[[#This Row],[Sales]]/Table1_1[[#This Row],[Quantity]]</f>
        <v>89.977000000000004</v>
      </c>
    </row>
    <row r="488" spans="1:17" x14ac:dyDescent="0.3">
      <c r="A488" t="s">
        <v>501</v>
      </c>
      <c r="B488" s="2">
        <f t="shared" si="12"/>
        <v>44728</v>
      </c>
      <c r="C488" t="s">
        <v>957</v>
      </c>
      <c r="D488" s="2">
        <v>44738</v>
      </c>
      <c r="E488" t="s">
        <v>1372</v>
      </c>
      <c r="F488" t="s">
        <v>1374</v>
      </c>
      <c r="G488" t="s">
        <v>1379</v>
      </c>
      <c r="H488" t="s">
        <v>1381</v>
      </c>
      <c r="I488" t="s">
        <v>1391</v>
      </c>
      <c r="J488" t="s">
        <v>1392</v>
      </c>
      <c r="K488" t="s">
        <v>1401</v>
      </c>
      <c r="L488" t="s">
        <v>1699</v>
      </c>
      <c r="M488" s="3">
        <v>397.22</v>
      </c>
      <c r="N488">
        <v>3</v>
      </c>
      <c r="O488" s="3">
        <v>0.15</v>
      </c>
      <c r="P488" s="3">
        <v>-47.01</v>
      </c>
      <c r="Q488" s="3">
        <f>Table1_1[[#This Row],[Sales]]/Table1_1[[#This Row],[Quantity]]</f>
        <v>132.40666666666667</v>
      </c>
    </row>
    <row r="489" spans="1:17" x14ac:dyDescent="0.3">
      <c r="A489" t="s">
        <v>502</v>
      </c>
      <c r="B489" s="2">
        <f t="shared" si="12"/>
        <v>45104</v>
      </c>
      <c r="C489" t="s">
        <v>1993</v>
      </c>
      <c r="D489" s="2">
        <v>45106</v>
      </c>
      <c r="E489" t="s">
        <v>1360</v>
      </c>
      <c r="F489" t="s">
        <v>1376</v>
      </c>
      <c r="G489" t="s">
        <v>1379</v>
      </c>
      <c r="H489" t="s">
        <v>1384</v>
      </c>
      <c r="I489" t="s">
        <v>1391</v>
      </c>
      <c r="J489" t="s">
        <v>1393</v>
      </c>
      <c r="K489" t="s">
        <v>1400</v>
      </c>
      <c r="L489" t="s">
        <v>1700</v>
      </c>
      <c r="M489" s="3">
        <v>924.4</v>
      </c>
      <c r="N489">
        <v>3</v>
      </c>
      <c r="O489" s="3">
        <v>0</v>
      </c>
      <c r="P489" s="3">
        <v>91.87</v>
      </c>
      <c r="Q489" s="3">
        <f>Table1_1[[#This Row],[Sales]]/Table1_1[[#This Row],[Quantity]]</f>
        <v>308.13333333333333</v>
      </c>
    </row>
    <row r="490" spans="1:17" x14ac:dyDescent="0.3">
      <c r="A490" t="s">
        <v>503</v>
      </c>
      <c r="B490" s="2">
        <f t="shared" si="12"/>
        <v>45109</v>
      </c>
      <c r="C490" t="s">
        <v>959</v>
      </c>
      <c r="D490" s="2">
        <v>45119</v>
      </c>
      <c r="E490" t="s">
        <v>1373</v>
      </c>
      <c r="F490" t="s">
        <v>1375</v>
      </c>
      <c r="G490" t="s">
        <v>1379</v>
      </c>
      <c r="H490" t="s">
        <v>1387</v>
      </c>
      <c r="I490" t="s">
        <v>1390</v>
      </c>
      <c r="J490" t="s">
        <v>1394</v>
      </c>
      <c r="K490" t="s">
        <v>1402</v>
      </c>
      <c r="L490" t="s">
        <v>1426</v>
      </c>
      <c r="M490" s="3">
        <v>35.22</v>
      </c>
      <c r="N490">
        <v>9</v>
      </c>
      <c r="O490" s="3">
        <v>0.15</v>
      </c>
      <c r="P490" s="3">
        <v>-0.48</v>
      </c>
      <c r="Q490" s="3">
        <f>Table1_1[[#This Row],[Sales]]/Table1_1[[#This Row],[Quantity]]</f>
        <v>3.9133333333333331</v>
      </c>
    </row>
    <row r="491" spans="1:17" hidden="1" x14ac:dyDescent="0.3">
      <c r="A491" t="s">
        <v>504</v>
      </c>
      <c r="B491" s="2" t="e">
        <f t="shared" si="12"/>
        <v>#VALUE!</v>
      </c>
      <c r="C491" t="s">
        <v>1994</v>
      </c>
      <c r="D491" s="2">
        <v>44792</v>
      </c>
      <c r="E491" t="s">
        <v>1366</v>
      </c>
      <c r="F491" t="s">
        <v>1376</v>
      </c>
      <c r="G491" t="s">
        <v>1379</v>
      </c>
      <c r="H491" t="s">
        <v>1381</v>
      </c>
      <c r="I491" t="s">
        <v>1390</v>
      </c>
      <c r="J491" t="s">
        <v>1393</v>
      </c>
      <c r="K491" t="s">
        <v>1396</v>
      </c>
      <c r="L491" t="s">
        <v>1587</v>
      </c>
      <c r="M491" s="3">
        <v>833.79</v>
      </c>
      <c r="N491">
        <v>9</v>
      </c>
      <c r="O491" s="3">
        <v>0</v>
      </c>
      <c r="P491" s="3">
        <v>130.30000000000001</v>
      </c>
      <c r="Q491" s="3">
        <f>Table1_1[[#This Row],[Sales]]/Table1_1[[#This Row],[Quantity]]</f>
        <v>92.643333333333331</v>
      </c>
    </row>
    <row r="492" spans="1:17" x14ac:dyDescent="0.3">
      <c r="A492" t="s">
        <v>505</v>
      </c>
      <c r="B492" s="2">
        <f t="shared" si="12"/>
        <v>45053</v>
      </c>
      <c r="C492" t="s">
        <v>961</v>
      </c>
      <c r="D492" s="2">
        <v>45059</v>
      </c>
      <c r="E492" t="s">
        <v>1370</v>
      </c>
      <c r="F492" t="s">
        <v>1376</v>
      </c>
      <c r="G492" t="s">
        <v>1379</v>
      </c>
      <c r="H492" t="s">
        <v>1382</v>
      </c>
      <c r="I492" t="s">
        <v>1388</v>
      </c>
      <c r="J492" t="s">
        <v>1394</v>
      </c>
      <c r="K492" t="s">
        <v>1398</v>
      </c>
      <c r="L492" t="s">
        <v>1627</v>
      </c>
      <c r="M492" s="3">
        <v>447.83</v>
      </c>
      <c r="N492">
        <v>8</v>
      </c>
      <c r="O492" s="3">
        <v>0</v>
      </c>
      <c r="P492" s="3">
        <v>27.57</v>
      </c>
      <c r="Q492" s="3">
        <f>Table1_1[[#This Row],[Sales]]/Table1_1[[#This Row],[Quantity]]</f>
        <v>55.978749999999998</v>
      </c>
    </row>
    <row r="493" spans="1:17" x14ac:dyDescent="0.3">
      <c r="A493" t="s">
        <v>506</v>
      </c>
      <c r="B493" s="2">
        <f t="shared" si="12"/>
        <v>44693</v>
      </c>
      <c r="C493" t="s">
        <v>962</v>
      </c>
      <c r="D493" s="2">
        <v>44696</v>
      </c>
      <c r="E493" t="s">
        <v>1369</v>
      </c>
      <c r="F493" t="s">
        <v>1375</v>
      </c>
      <c r="G493" t="s">
        <v>1704</v>
      </c>
      <c r="H493" t="s">
        <v>1386</v>
      </c>
      <c r="I493" t="s">
        <v>1389</v>
      </c>
      <c r="J493" t="s">
        <v>1393</v>
      </c>
      <c r="K493" t="s">
        <v>1400</v>
      </c>
      <c r="L493" t="s">
        <v>1503</v>
      </c>
      <c r="M493" s="3">
        <v>382.77</v>
      </c>
      <c r="N493">
        <v>4</v>
      </c>
      <c r="O493" s="3">
        <v>0.1</v>
      </c>
      <c r="P493" s="3">
        <v>111.22</v>
      </c>
      <c r="Q493" s="3">
        <f>Table1_1[[#This Row],[Sales]]/Table1_1[[#This Row],[Quantity]]</f>
        <v>95.692499999999995</v>
      </c>
    </row>
    <row r="494" spans="1:17" x14ac:dyDescent="0.3">
      <c r="A494" t="s">
        <v>507</v>
      </c>
      <c r="B494" s="2">
        <f t="shared" si="12"/>
        <v>44763</v>
      </c>
      <c r="C494" t="s">
        <v>963</v>
      </c>
      <c r="D494" s="2">
        <v>44765</v>
      </c>
      <c r="E494" t="s">
        <v>1369</v>
      </c>
      <c r="F494" t="s">
        <v>1376</v>
      </c>
      <c r="G494" t="s">
        <v>1379</v>
      </c>
      <c r="H494" t="s">
        <v>1386</v>
      </c>
      <c r="I494" t="s">
        <v>1388</v>
      </c>
      <c r="J494" t="s">
        <v>1392</v>
      </c>
      <c r="K494" t="s">
        <v>1395</v>
      </c>
      <c r="L494" t="s">
        <v>1701</v>
      </c>
      <c r="M494" s="3">
        <v>625.91</v>
      </c>
      <c r="N494">
        <v>1</v>
      </c>
      <c r="O494" s="3">
        <v>0.2</v>
      </c>
      <c r="P494" s="3">
        <v>-87.96</v>
      </c>
      <c r="Q494" s="3">
        <f>Table1_1[[#This Row],[Sales]]/Table1_1[[#This Row],[Quantity]]</f>
        <v>625.91</v>
      </c>
    </row>
    <row r="495" spans="1:17" x14ac:dyDescent="0.3">
      <c r="A495" t="s">
        <v>508</v>
      </c>
      <c r="B495" s="2">
        <f t="shared" si="12"/>
        <v>45178</v>
      </c>
      <c r="C495" t="s">
        <v>1995</v>
      </c>
      <c r="D495" s="2">
        <v>45182</v>
      </c>
      <c r="E495" t="s">
        <v>1362</v>
      </c>
      <c r="F495" t="s">
        <v>1376</v>
      </c>
      <c r="G495" t="s">
        <v>1379</v>
      </c>
      <c r="H495" t="s">
        <v>1387</v>
      </c>
      <c r="I495" t="s">
        <v>1390</v>
      </c>
      <c r="J495" t="s">
        <v>1393</v>
      </c>
      <c r="K495" t="s">
        <v>1400</v>
      </c>
      <c r="L495" t="s">
        <v>1463</v>
      </c>
      <c r="M495" s="3">
        <v>238.04</v>
      </c>
      <c r="N495">
        <v>6</v>
      </c>
      <c r="O495" s="3">
        <v>0</v>
      </c>
      <c r="P495" s="3">
        <v>-36.799999999999997</v>
      </c>
      <c r="Q495" s="3">
        <f>Table1_1[[#This Row],[Sales]]/Table1_1[[#This Row],[Quantity]]</f>
        <v>39.673333333333332</v>
      </c>
    </row>
    <row r="496" spans="1:17" x14ac:dyDescent="0.3">
      <c r="A496" t="s">
        <v>509</v>
      </c>
      <c r="B496" s="2">
        <f t="shared" si="12"/>
        <v>45145</v>
      </c>
      <c r="C496" t="s">
        <v>965</v>
      </c>
      <c r="D496" s="2">
        <v>45147</v>
      </c>
      <c r="E496" t="s">
        <v>1370</v>
      </c>
      <c r="F496" t="s">
        <v>1375</v>
      </c>
      <c r="G496" t="s">
        <v>1379</v>
      </c>
      <c r="H496" t="s">
        <v>1387</v>
      </c>
      <c r="I496" t="s">
        <v>1389</v>
      </c>
      <c r="J496" t="s">
        <v>1392</v>
      </c>
      <c r="K496" t="s">
        <v>1395</v>
      </c>
      <c r="L496" t="s">
        <v>1410</v>
      </c>
      <c r="M496" s="3">
        <v>920.63</v>
      </c>
      <c r="N496">
        <v>9</v>
      </c>
      <c r="O496" s="3">
        <v>0.1</v>
      </c>
      <c r="P496" s="3">
        <v>145.37</v>
      </c>
      <c r="Q496" s="3">
        <f>Table1_1[[#This Row],[Sales]]/Table1_1[[#This Row],[Quantity]]</f>
        <v>102.29222222222222</v>
      </c>
    </row>
    <row r="497" spans="1:17" x14ac:dyDescent="0.3">
      <c r="A497" t="s">
        <v>510</v>
      </c>
      <c r="B497" s="2">
        <f t="shared" si="12"/>
        <v>45276</v>
      </c>
      <c r="C497" t="s">
        <v>966</v>
      </c>
      <c r="D497" s="2">
        <v>45286</v>
      </c>
      <c r="E497" t="s">
        <v>1367</v>
      </c>
      <c r="F497" t="s">
        <v>1374</v>
      </c>
      <c r="G497" t="s">
        <v>1704</v>
      </c>
      <c r="H497" t="s">
        <v>1385</v>
      </c>
      <c r="I497" t="s">
        <v>1388</v>
      </c>
      <c r="J497" t="s">
        <v>1392</v>
      </c>
      <c r="K497" t="s">
        <v>1397</v>
      </c>
      <c r="L497" t="s">
        <v>1460</v>
      </c>
      <c r="M497" s="3">
        <v>814.76</v>
      </c>
      <c r="N497">
        <v>2</v>
      </c>
      <c r="O497" s="3">
        <v>0.1</v>
      </c>
      <c r="P497" s="3">
        <v>177.11</v>
      </c>
      <c r="Q497" s="3">
        <f>Table1_1[[#This Row],[Sales]]/Table1_1[[#This Row],[Quantity]]</f>
        <v>407.38</v>
      </c>
    </row>
    <row r="498" spans="1:17" hidden="1" x14ac:dyDescent="0.3">
      <c r="A498" t="s">
        <v>511</v>
      </c>
      <c r="B498" s="2" t="e">
        <f t="shared" si="12"/>
        <v>#VALUE!</v>
      </c>
      <c r="C498" t="s">
        <v>1996</v>
      </c>
      <c r="D498" s="2">
        <v>44885</v>
      </c>
      <c r="E498" t="s">
        <v>1369</v>
      </c>
      <c r="F498" t="s">
        <v>1376</v>
      </c>
      <c r="G498" t="s">
        <v>1704</v>
      </c>
      <c r="H498" t="s">
        <v>1381</v>
      </c>
      <c r="I498" t="s">
        <v>1389</v>
      </c>
      <c r="J498" t="s">
        <v>1394</v>
      </c>
      <c r="K498" t="s">
        <v>1402</v>
      </c>
      <c r="L498" t="s">
        <v>1529</v>
      </c>
      <c r="M498" s="3">
        <v>633.28</v>
      </c>
      <c r="N498">
        <v>8</v>
      </c>
      <c r="O498" s="3">
        <v>0.15</v>
      </c>
      <c r="P498" s="3">
        <v>96.49</v>
      </c>
      <c r="Q498" s="3">
        <f>Table1_1[[#This Row],[Sales]]/Table1_1[[#This Row],[Quantity]]</f>
        <v>79.16</v>
      </c>
    </row>
    <row r="499" spans="1:17" x14ac:dyDescent="0.3">
      <c r="A499" t="s">
        <v>512</v>
      </c>
      <c r="B499" s="2">
        <f t="shared" si="12"/>
        <v>45029</v>
      </c>
      <c r="C499" t="s">
        <v>968</v>
      </c>
      <c r="D499" s="2">
        <v>45039</v>
      </c>
      <c r="E499" t="s">
        <v>1367</v>
      </c>
      <c r="F499" t="s">
        <v>1375</v>
      </c>
      <c r="G499" t="s">
        <v>1704</v>
      </c>
      <c r="H499" t="s">
        <v>1382</v>
      </c>
      <c r="I499" t="s">
        <v>1391</v>
      </c>
      <c r="J499" t="s">
        <v>1393</v>
      </c>
      <c r="K499" t="s">
        <v>1399</v>
      </c>
      <c r="L499" t="s">
        <v>1588</v>
      </c>
      <c r="M499" s="3">
        <v>830.71</v>
      </c>
      <c r="N499">
        <v>8</v>
      </c>
      <c r="O499" s="3">
        <v>0.1</v>
      </c>
      <c r="P499" s="3">
        <v>63.93</v>
      </c>
      <c r="Q499" s="3">
        <f>Table1_1[[#This Row],[Sales]]/Table1_1[[#This Row],[Quantity]]</f>
        <v>103.83875</v>
      </c>
    </row>
    <row r="500" spans="1:17" x14ac:dyDescent="0.3">
      <c r="A500" t="s">
        <v>513</v>
      </c>
      <c r="B500" s="2">
        <f t="shared" si="12"/>
        <v>44575</v>
      </c>
      <c r="C500" t="s">
        <v>969</v>
      </c>
      <c r="D500" s="2">
        <v>44583</v>
      </c>
      <c r="E500" t="s">
        <v>1365</v>
      </c>
      <c r="F500" t="s">
        <v>1374</v>
      </c>
      <c r="G500" t="s">
        <v>1379</v>
      </c>
      <c r="H500" t="s">
        <v>1382</v>
      </c>
      <c r="I500" t="s">
        <v>1390</v>
      </c>
      <c r="J500" t="s">
        <v>1393</v>
      </c>
      <c r="K500" t="s">
        <v>1400</v>
      </c>
      <c r="L500" t="s">
        <v>1702</v>
      </c>
      <c r="M500" s="3">
        <v>487.72</v>
      </c>
      <c r="N500">
        <v>9</v>
      </c>
      <c r="O500" s="3">
        <v>0</v>
      </c>
      <c r="P500" s="3">
        <v>-68.47</v>
      </c>
      <c r="Q500" s="3">
        <f>Table1_1[[#This Row],[Sales]]/Table1_1[[#This Row],[Quantity]]</f>
        <v>54.191111111111113</v>
      </c>
    </row>
    <row r="501" spans="1:17" x14ac:dyDescent="0.3">
      <c r="A501" t="s">
        <v>514</v>
      </c>
      <c r="B501" s="2">
        <f t="shared" si="12"/>
        <v>44934</v>
      </c>
      <c r="C501" t="s">
        <v>970</v>
      </c>
      <c r="D501" s="2">
        <v>44938</v>
      </c>
      <c r="E501" t="s">
        <v>1373</v>
      </c>
      <c r="F501" t="s">
        <v>1374</v>
      </c>
      <c r="G501" t="s">
        <v>1379</v>
      </c>
      <c r="H501" t="s">
        <v>1386</v>
      </c>
      <c r="I501" t="s">
        <v>1389</v>
      </c>
      <c r="J501" t="s">
        <v>1394</v>
      </c>
      <c r="K501" t="s">
        <v>1402</v>
      </c>
      <c r="L501" t="s">
        <v>1449</v>
      </c>
      <c r="M501" s="3">
        <v>722.05</v>
      </c>
      <c r="N501">
        <v>7</v>
      </c>
      <c r="O501" s="3">
        <v>0</v>
      </c>
      <c r="P501" s="3">
        <v>-60.34</v>
      </c>
      <c r="Q501" s="3">
        <f>Table1_1[[#This Row],[Sales]]/Table1_1[[#This Row],[Quantity]]</f>
        <v>103.14999999999999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1"/>
  <sheetViews>
    <sheetView topLeftCell="G1" workbookViewId="0">
      <selection sqref="A1:O521"/>
    </sheetView>
  </sheetViews>
  <sheetFormatPr defaultRowHeight="14.4" x14ac:dyDescent="0.3"/>
  <cols>
    <col min="1" max="1" width="12.44140625" bestFit="1" customWidth="1"/>
    <col min="2" max="2" width="14.5546875" bestFit="1" customWidth="1"/>
    <col min="3" max="3" width="13.44140625" bestFit="1" customWidth="1"/>
    <col min="4" max="4" width="19.109375" bestFit="1" customWidth="1"/>
    <col min="5" max="5" width="12.88671875" bestFit="1" customWidth="1"/>
    <col min="6" max="6" width="12.21875" bestFit="1" customWidth="1"/>
    <col min="7" max="7" width="10.44140625" bestFit="1" customWidth="1"/>
    <col min="8" max="8" width="11.21875" bestFit="1" customWidth="1"/>
    <col min="9" max="9" width="13.109375" bestFit="1" customWidth="1"/>
    <col min="10" max="10" width="16.88671875" bestFit="1" customWidth="1"/>
    <col min="11" max="11" width="18.77734375" bestFit="1" customWidth="1"/>
    <col min="12" max="12" width="9.6640625" bestFit="1" customWidth="1"/>
    <col min="13" max="14" width="12.77734375" bestFit="1" customWidth="1"/>
    <col min="15" max="15" width="10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515</v>
      </c>
      <c r="C2" t="s">
        <v>971</v>
      </c>
      <c r="D2" t="s">
        <v>1359</v>
      </c>
      <c r="E2" t="s">
        <v>1374</v>
      </c>
      <c r="F2" t="s">
        <v>1377</v>
      </c>
      <c r="G2" t="s">
        <v>1381</v>
      </c>
      <c r="H2" t="s">
        <v>1388</v>
      </c>
      <c r="I2" t="s">
        <v>1392</v>
      </c>
      <c r="J2" t="s">
        <v>1395</v>
      </c>
      <c r="K2" t="s">
        <v>1404</v>
      </c>
      <c r="L2">
        <v>344.53</v>
      </c>
      <c r="M2">
        <v>4</v>
      </c>
      <c r="N2">
        <v>0.1</v>
      </c>
      <c r="O2">
        <v>57.96</v>
      </c>
    </row>
    <row r="3" spans="1:15" x14ac:dyDescent="0.3">
      <c r="A3" t="s">
        <v>16</v>
      </c>
      <c r="B3" t="s">
        <v>516</v>
      </c>
      <c r="C3" t="s">
        <v>972</v>
      </c>
      <c r="D3" t="s">
        <v>1360</v>
      </c>
      <c r="E3" t="s">
        <v>1375</v>
      </c>
      <c r="F3" t="s">
        <v>1378</v>
      </c>
      <c r="G3" t="s">
        <v>1382</v>
      </c>
      <c r="H3" t="s">
        <v>1389</v>
      </c>
      <c r="I3" t="s">
        <v>1393</v>
      </c>
      <c r="J3" t="s">
        <v>1396</v>
      </c>
      <c r="K3" t="s">
        <v>1405</v>
      </c>
      <c r="L3">
        <v>51.31</v>
      </c>
      <c r="M3">
        <v>4</v>
      </c>
      <c r="O3">
        <v>0.5</v>
      </c>
    </row>
    <row r="4" spans="1:15" x14ac:dyDescent="0.3">
      <c r="A4" t="s">
        <v>17</v>
      </c>
      <c r="B4" t="s">
        <v>517</v>
      </c>
      <c r="C4" t="s">
        <v>973</v>
      </c>
      <c r="D4" t="s">
        <v>1360</v>
      </c>
      <c r="E4" t="s">
        <v>1375</v>
      </c>
      <c r="F4" t="s">
        <v>1377</v>
      </c>
      <c r="G4" t="s">
        <v>1383</v>
      </c>
      <c r="H4" t="s">
        <v>1388</v>
      </c>
      <c r="I4" t="s">
        <v>1392</v>
      </c>
      <c r="J4" t="s">
        <v>1397</v>
      </c>
      <c r="K4" t="s">
        <v>1406</v>
      </c>
      <c r="L4">
        <v>140.61000000000001</v>
      </c>
      <c r="M4">
        <v>7</v>
      </c>
      <c r="N4">
        <v>0</v>
      </c>
      <c r="O4">
        <v>-2.88</v>
      </c>
    </row>
    <row r="5" spans="1:15" x14ac:dyDescent="0.3">
      <c r="A5" t="s">
        <v>18</v>
      </c>
      <c r="B5" t="s">
        <v>518</v>
      </c>
      <c r="C5" t="s">
        <v>974</v>
      </c>
      <c r="D5" t="s">
        <v>1361</v>
      </c>
      <c r="E5" t="s">
        <v>1375</v>
      </c>
      <c r="F5" t="s">
        <v>1379</v>
      </c>
      <c r="G5" t="s">
        <v>1381</v>
      </c>
      <c r="H5" t="s">
        <v>1390</v>
      </c>
      <c r="I5" t="s">
        <v>1394</v>
      </c>
      <c r="J5" t="s">
        <v>1398</v>
      </c>
      <c r="K5" t="s">
        <v>1407</v>
      </c>
      <c r="L5">
        <v>749.85</v>
      </c>
      <c r="M5">
        <v>6</v>
      </c>
      <c r="O5">
        <v>-77.88</v>
      </c>
    </row>
    <row r="6" spans="1:15" x14ac:dyDescent="0.3">
      <c r="A6" t="s">
        <v>19</v>
      </c>
      <c r="B6" t="s">
        <v>519</v>
      </c>
      <c r="C6" t="s">
        <v>975</v>
      </c>
      <c r="D6" t="s">
        <v>1362</v>
      </c>
      <c r="E6" t="s">
        <v>1374</v>
      </c>
      <c r="F6" t="s">
        <v>1380</v>
      </c>
      <c r="G6" t="s">
        <v>1383</v>
      </c>
      <c r="H6" t="s">
        <v>1390</v>
      </c>
      <c r="I6" t="s">
        <v>1394</v>
      </c>
      <c r="J6" t="s">
        <v>1398</v>
      </c>
      <c r="K6" t="s">
        <v>1408</v>
      </c>
      <c r="L6">
        <v>1004.25</v>
      </c>
      <c r="M6">
        <v>3</v>
      </c>
      <c r="N6">
        <v>0.15</v>
      </c>
      <c r="O6">
        <v>-22.46</v>
      </c>
    </row>
    <row r="7" spans="1:15" x14ac:dyDescent="0.3">
      <c r="A7" t="s">
        <v>20</v>
      </c>
      <c r="B7" t="s">
        <v>520</v>
      </c>
      <c r="C7" t="s">
        <v>976</v>
      </c>
      <c r="D7" t="s">
        <v>1363</v>
      </c>
      <c r="E7" t="s">
        <v>1376</v>
      </c>
      <c r="F7" t="s">
        <v>1377</v>
      </c>
      <c r="G7" t="s">
        <v>1384</v>
      </c>
      <c r="H7" t="s">
        <v>1388</v>
      </c>
      <c r="I7" t="s">
        <v>1392</v>
      </c>
      <c r="J7" t="s">
        <v>1397</v>
      </c>
      <c r="K7" t="s">
        <v>1409</v>
      </c>
      <c r="L7">
        <v>467.76</v>
      </c>
      <c r="M7">
        <v>9</v>
      </c>
      <c r="N7">
        <v>0.1</v>
      </c>
      <c r="O7">
        <v>66.569999999999993</v>
      </c>
    </row>
    <row r="8" spans="1:15" x14ac:dyDescent="0.3">
      <c r="A8" t="s">
        <v>21</v>
      </c>
      <c r="B8" t="s">
        <v>521</v>
      </c>
      <c r="C8" t="s">
        <v>977</v>
      </c>
      <c r="D8" t="s">
        <v>1364</v>
      </c>
      <c r="E8" t="s">
        <v>1376</v>
      </c>
      <c r="F8" t="s">
        <v>1377</v>
      </c>
      <c r="G8" t="s">
        <v>1383</v>
      </c>
      <c r="H8" t="s">
        <v>1389</v>
      </c>
      <c r="I8" t="s">
        <v>1392</v>
      </c>
      <c r="J8" t="s">
        <v>1395</v>
      </c>
      <c r="K8" t="s">
        <v>1410</v>
      </c>
      <c r="L8">
        <v>609.09</v>
      </c>
      <c r="M8">
        <v>8</v>
      </c>
      <c r="N8">
        <v>0.1</v>
      </c>
      <c r="O8">
        <v>-41.15</v>
      </c>
    </row>
    <row r="9" spans="1:15" x14ac:dyDescent="0.3">
      <c r="A9" t="s">
        <v>22</v>
      </c>
      <c r="B9" t="s">
        <v>522</v>
      </c>
      <c r="C9" t="s">
        <v>972</v>
      </c>
      <c r="D9" t="s">
        <v>1365</v>
      </c>
      <c r="E9" t="s">
        <v>1375</v>
      </c>
      <c r="F9" t="s">
        <v>1377</v>
      </c>
      <c r="G9" t="s">
        <v>1385</v>
      </c>
      <c r="H9" t="s">
        <v>1389</v>
      </c>
      <c r="I9" t="s">
        <v>1393</v>
      </c>
      <c r="J9" t="s">
        <v>1399</v>
      </c>
      <c r="K9" t="s">
        <v>1411</v>
      </c>
      <c r="L9">
        <v>127.27</v>
      </c>
      <c r="M9">
        <v>1</v>
      </c>
      <c r="N9">
        <v>0</v>
      </c>
      <c r="O9">
        <v>-15.73</v>
      </c>
    </row>
    <row r="10" spans="1:15" x14ac:dyDescent="0.3">
      <c r="A10" t="s">
        <v>23</v>
      </c>
      <c r="B10" t="s">
        <v>523</v>
      </c>
      <c r="C10" t="s">
        <v>978</v>
      </c>
      <c r="D10" t="s">
        <v>1366</v>
      </c>
      <c r="E10" t="s">
        <v>1376</v>
      </c>
      <c r="F10" t="s">
        <v>1378</v>
      </c>
      <c r="G10" t="s">
        <v>1385</v>
      </c>
      <c r="H10" t="s">
        <v>1388</v>
      </c>
      <c r="I10" t="s">
        <v>1392</v>
      </c>
      <c r="J10" t="s">
        <v>1395</v>
      </c>
      <c r="K10" t="s">
        <v>1412</v>
      </c>
      <c r="L10">
        <v>870.45</v>
      </c>
      <c r="M10">
        <v>9</v>
      </c>
      <c r="N10">
        <v>0.15</v>
      </c>
      <c r="O10">
        <v>160.41999999999999</v>
      </c>
    </row>
    <row r="11" spans="1:15" x14ac:dyDescent="0.3">
      <c r="A11" t="s">
        <v>24</v>
      </c>
      <c r="B11" t="s">
        <v>524</v>
      </c>
      <c r="C11" t="s">
        <v>979</v>
      </c>
      <c r="D11" t="s">
        <v>1359</v>
      </c>
      <c r="E11" t="s">
        <v>1375</v>
      </c>
      <c r="F11" t="s">
        <v>1379</v>
      </c>
      <c r="G11" t="s">
        <v>1386</v>
      </c>
      <c r="H11" t="s">
        <v>1390</v>
      </c>
      <c r="I11" t="s">
        <v>1393</v>
      </c>
      <c r="J11" t="s">
        <v>1400</v>
      </c>
      <c r="K11" t="s">
        <v>1413</v>
      </c>
      <c r="L11">
        <v>619.05999999999995</v>
      </c>
      <c r="M11">
        <v>2</v>
      </c>
      <c r="N11">
        <v>0.15</v>
      </c>
      <c r="O11">
        <v>136.71</v>
      </c>
    </row>
    <row r="12" spans="1:15" x14ac:dyDescent="0.3">
      <c r="A12" t="s">
        <v>25</v>
      </c>
      <c r="B12" t="s">
        <v>525</v>
      </c>
      <c r="C12" t="s">
        <v>980</v>
      </c>
      <c r="D12" t="s">
        <v>1363</v>
      </c>
      <c r="E12" t="s">
        <v>1375</v>
      </c>
      <c r="F12" t="s">
        <v>1380</v>
      </c>
      <c r="G12" t="s">
        <v>1381</v>
      </c>
      <c r="H12" t="s">
        <v>1389</v>
      </c>
      <c r="I12" t="s">
        <v>1392</v>
      </c>
      <c r="J12" t="s">
        <v>1395</v>
      </c>
      <c r="K12" t="s">
        <v>1414</v>
      </c>
      <c r="L12">
        <v>402.5</v>
      </c>
      <c r="M12">
        <v>1</v>
      </c>
      <c r="N12">
        <v>0</v>
      </c>
      <c r="O12">
        <v>106.48</v>
      </c>
    </row>
    <row r="13" spans="1:15" x14ac:dyDescent="0.3">
      <c r="A13" t="s">
        <v>26</v>
      </c>
      <c r="B13" t="s">
        <v>526</v>
      </c>
      <c r="C13" t="s">
        <v>981</v>
      </c>
      <c r="D13" t="s">
        <v>1367</v>
      </c>
      <c r="E13" t="s">
        <v>1374</v>
      </c>
      <c r="F13" t="s">
        <v>1378</v>
      </c>
      <c r="G13" t="s">
        <v>1382</v>
      </c>
      <c r="H13" t="s">
        <v>1391</v>
      </c>
      <c r="I13" t="s">
        <v>1392</v>
      </c>
      <c r="J13" t="s">
        <v>1401</v>
      </c>
      <c r="K13" t="s">
        <v>1415</v>
      </c>
      <c r="L13">
        <v>798.51</v>
      </c>
      <c r="M13">
        <v>9</v>
      </c>
      <c r="N13">
        <v>0.1</v>
      </c>
      <c r="O13">
        <v>-53.88</v>
      </c>
    </row>
    <row r="14" spans="1:15" x14ac:dyDescent="0.3">
      <c r="A14" t="s">
        <v>27</v>
      </c>
      <c r="B14" t="s">
        <v>527</v>
      </c>
      <c r="C14" t="s">
        <v>982</v>
      </c>
      <c r="D14" t="s">
        <v>1364</v>
      </c>
      <c r="E14" t="s">
        <v>1375</v>
      </c>
      <c r="F14" t="s">
        <v>1378</v>
      </c>
      <c r="G14" t="s">
        <v>1381</v>
      </c>
      <c r="H14" t="s">
        <v>1388</v>
      </c>
      <c r="I14" t="s">
        <v>1394</v>
      </c>
      <c r="J14" t="s">
        <v>1398</v>
      </c>
      <c r="K14" t="s">
        <v>1416</v>
      </c>
      <c r="L14">
        <v>552.75</v>
      </c>
      <c r="M14">
        <v>4</v>
      </c>
      <c r="N14">
        <v>0.1</v>
      </c>
      <c r="O14">
        <v>-92.85</v>
      </c>
    </row>
    <row r="15" spans="1:15" x14ac:dyDescent="0.3">
      <c r="A15" t="s">
        <v>28</v>
      </c>
      <c r="B15" t="s">
        <v>528</v>
      </c>
      <c r="C15" t="s">
        <v>983</v>
      </c>
      <c r="D15" t="s">
        <v>1367</v>
      </c>
      <c r="E15" t="s">
        <v>1374</v>
      </c>
      <c r="F15" t="s">
        <v>1378</v>
      </c>
      <c r="G15" t="s">
        <v>1382</v>
      </c>
      <c r="H15" t="s">
        <v>1389</v>
      </c>
      <c r="I15" t="s">
        <v>1392</v>
      </c>
      <c r="J15" t="s">
        <v>1401</v>
      </c>
      <c r="K15" t="s">
        <v>1417</v>
      </c>
      <c r="L15">
        <v>1088.4000000000001</v>
      </c>
      <c r="M15">
        <v>6</v>
      </c>
      <c r="N15">
        <v>0</v>
      </c>
      <c r="O15">
        <v>62.12</v>
      </c>
    </row>
    <row r="16" spans="1:15" x14ac:dyDescent="0.3">
      <c r="A16" t="s">
        <v>29</v>
      </c>
      <c r="B16" t="s">
        <v>529</v>
      </c>
      <c r="C16" t="s">
        <v>984</v>
      </c>
      <c r="D16" t="s">
        <v>1361</v>
      </c>
      <c r="E16" t="s">
        <v>1374</v>
      </c>
      <c r="F16" t="s">
        <v>1380</v>
      </c>
      <c r="G16" t="s">
        <v>1381</v>
      </c>
      <c r="H16" t="s">
        <v>1389</v>
      </c>
      <c r="I16" t="s">
        <v>1394</v>
      </c>
      <c r="J16" t="s">
        <v>1402</v>
      </c>
      <c r="K16" t="s">
        <v>1418</v>
      </c>
      <c r="L16">
        <v>131.30000000000001</v>
      </c>
      <c r="M16">
        <v>7</v>
      </c>
      <c r="N16">
        <v>0.15</v>
      </c>
      <c r="O16">
        <v>1.55</v>
      </c>
    </row>
    <row r="17" spans="1:15" x14ac:dyDescent="0.3">
      <c r="A17" t="s">
        <v>30</v>
      </c>
      <c r="B17" t="s">
        <v>530</v>
      </c>
      <c r="C17" t="s">
        <v>985</v>
      </c>
      <c r="D17" t="s">
        <v>1367</v>
      </c>
      <c r="E17" t="s">
        <v>1375</v>
      </c>
      <c r="F17" t="s">
        <v>1377</v>
      </c>
      <c r="G17" t="s">
        <v>1386</v>
      </c>
      <c r="H17" t="s">
        <v>1388</v>
      </c>
      <c r="I17" t="s">
        <v>1392</v>
      </c>
      <c r="J17" t="s">
        <v>1401</v>
      </c>
      <c r="K17" t="s">
        <v>1419</v>
      </c>
      <c r="L17">
        <v>244.45</v>
      </c>
      <c r="M17">
        <v>8</v>
      </c>
      <c r="N17">
        <v>0.1</v>
      </c>
      <c r="O17">
        <v>2.67</v>
      </c>
    </row>
    <row r="18" spans="1:15" x14ac:dyDescent="0.3">
      <c r="A18" t="s">
        <v>31</v>
      </c>
      <c r="B18" t="s">
        <v>531</v>
      </c>
      <c r="C18" t="s">
        <v>986</v>
      </c>
      <c r="D18" t="s">
        <v>1368</v>
      </c>
      <c r="E18" t="s">
        <v>1375</v>
      </c>
      <c r="F18" t="s">
        <v>1378</v>
      </c>
      <c r="G18" t="s">
        <v>1385</v>
      </c>
      <c r="H18" t="s">
        <v>1388</v>
      </c>
      <c r="I18" t="s">
        <v>1392</v>
      </c>
      <c r="J18" t="s">
        <v>1401</v>
      </c>
      <c r="K18" t="s">
        <v>1420</v>
      </c>
      <c r="L18">
        <v>1113.1099999999999</v>
      </c>
      <c r="M18">
        <v>4</v>
      </c>
      <c r="N18">
        <v>0.1</v>
      </c>
      <c r="O18">
        <v>3.57</v>
      </c>
    </row>
    <row r="19" spans="1:15" x14ac:dyDescent="0.3">
      <c r="A19" t="s">
        <v>32</v>
      </c>
      <c r="B19" t="s">
        <v>532</v>
      </c>
      <c r="C19" t="s">
        <v>987</v>
      </c>
      <c r="D19" t="s">
        <v>1363</v>
      </c>
      <c r="E19" t="s">
        <v>1374</v>
      </c>
      <c r="F19" t="s">
        <v>1380</v>
      </c>
      <c r="G19" t="s">
        <v>1382</v>
      </c>
      <c r="H19" t="s">
        <v>1391</v>
      </c>
      <c r="I19" t="s">
        <v>1394</v>
      </c>
      <c r="J19" t="s">
        <v>1403</v>
      </c>
      <c r="K19" t="s">
        <v>1421</v>
      </c>
      <c r="L19">
        <v>841.98</v>
      </c>
      <c r="M19">
        <v>9</v>
      </c>
      <c r="N19">
        <v>0.2</v>
      </c>
      <c r="O19">
        <v>-103.23</v>
      </c>
    </row>
    <row r="20" spans="1:15" x14ac:dyDescent="0.3">
      <c r="A20" t="s">
        <v>33</v>
      </c>
      <c r="B20" t="s">
        <v>533</v>
      </c>
      <c r="C20" t="s">
        <v>988</v>
      </c>
      <c r="D20" t="s">
        <v>1369</v>
      </c>
      <c r="E20" t="s">
        <v>1375</v>
      </c>
      <c r="F20" t="s">
        <v>1380</v>
      </c>
      <c r="G20" t="s">
        <v>1382</v>
      </c>
      <c r="H20" t="s">
        <v>1390</v>
      </c>
      <c r="I20" t="s">
        <v>1394</v>
      </c>
      <c r="J20" t="s">
        <v>1398</v>
      </c>
      <c r="K20" t="s">
        <v>1422</v>
      </c>
      <c r="L20">
        <v>1104.8800000000001</v>
      </c>
      <c r="M20">
        <v>9</v>
      </c>
      <c r="N20">
        <v>0.1</v>
      </c>
      <c r="O20">
        <v>-189.55</v>
      </c>
    </row>
    <row r="21" spans="1:15" x14ac:dyDescent="0.3">
      <c r="A21" t="s">
        <v>34</v>
      </c>
      <c r="B21" t="s">
        <v>534</v>
      </c>
      <c r="C21" t="s">
        <v>989</v>
      </c>
      <c r="D21" t="s">
        <v>1364</v>
      </c>
      <c r="E21" t="s">
        <v>1376</v>
      </c>
      <c r="F21" t="s">
        <v>1379</v>
      </c>
      <c r="G21" t="s">
        <v>1387</v>
      </c>
      <c r="H21" t="s">
        <v>1391</v>
      </c>
      <c r="I21" t="s">
        <v>1392</v>
      </c>
      <c r="J21" t="s">
        <v>1395</v>
      </c>
      <c r="K21" t="s">
        <v>1423</v>
      </c>
      <c r="L21">
        <v>721.53</v>
      </c>
      <c r="M21">
        <v>10</v>
      </c>
      <c r="N21">
        <v>0</v>
      </c>
      <c r="O21">
        <v>6.94</v>
      </c>
    </row>
    <row r="22" spans="1:15" x14ac:dyDescent="0.3">
      <c r="A22" t="s">
        <v>35</v>
      </c>
      <c r="B22" t="s">
        <v>535</v>
      </c>
      <c r="C22" t="s">
        <v>990</v>
      </c>
      <c r="D22" t="s">
        <v>1366</v>
      </c>
      <c r="E22" t="s">
        <v>1374</v>
      </c>
      <c r="F22" t="s">
        <v>1380</v>
      </c>
      <c r="G22" t="s">
        <v>1381</v>
      </c>
      <c r="H22" t="s">
        <v>1390</v>
      </c>
      <c r="I22" t="s">
        <v>1392</v>
      </c>
      <c r="J22" t="s">
        <v>1395</v>
      </c>
      <c r="K22" t="s">
        <v>1424</v>
      </c>
      <c r="L22">
        <v>781.69</v>
      </c>
      <c r="M22">
        <v>8</v>
      </c>
      <c r="N22">
        <v>0.15</v>
      </c>
      <c r="O22">
        <v>206.76</v>
      </c>
    </row>
    <row r="23" spans="1:15" x14ac:dyDescent="0.3">
      <c r="A23" t="s">
        <v>36</v>
      </c>
      <c r="B23" t="s">
        <v>536</v>
      </c>
      <c r="C23" t="s">
        <v>991</v>
      </c>
      <c r="D23" t="s">
        <v>1362</v>
      </c>
      <c r="E23" t="s">
        <v>1374</v>
      </c>
      <c r="F23" t="s">
        <v>1380</v>
      </c>
      <c r="G23" t="s">
        <v>1382</v>
      </c>
      <c r="H23" t="s">
        <v>1391</v>
      </c>
      <c r="I23" t="s">
        <v>1394</v>
      </c>
      <c r="J23" t="s">
        <v>1402</v>
      </c>
      <c r="K23" t="s">
        <v>1425</v>
      </c>
      <c r="L23">
        <v>1057.54</v>
      </c>
      <c r="M23">
        <v>6</v>
      </c>
      <c r="N23">
        <v>0.15</v>
      </c>
      <c r="O23">
        <v>-128.1</v>
      </c>
    </row>
    <row r="24" spans="1:15" x14ac:dyDescent="0.3">
      <c r="A24" t="s">
        <v>37</v>
      </c>
      <c r="B24" t="s">
        <v>537</v>
      </c>
      <c r="C24" t="s">
        <v>992</v>
      </c>
      <c r="D24" t="s">
        <v>1370</v>
      </c>
      <c r="E24" t="s">
        <v>1376</v>
      </c>
      <c r="F24" t="s">
        <v>1378</v>
      </c>
      <c r="G24" t="s">
        <v>1382</v>
      </c>
      <c r="H24" t="s">
        <v>1391</v>
      </c>
      <c r="I24" t="s">
        <v>1394</v>
      </c>
      <c r="J24" t="s">
        <v>1402</v>
      </c>
      <c r="K24" t="s">
        <v>1426</v>
      </c>
      <c r="L24">
        <v>1069.8599999999999</v>
      </c>
      <c r="M24">
        <v>9</v>
      </c>
      <c r="N24">
        <v>0.1</v>
      </c>
      <c r="O24">
        <v>-68.28</v>
      </c>
    </row>
    <row r="25" spans="1:15" x14ac:dyDescent="0.3">
      <c r="A25" t="s">
        <v>38</v>
      </c>
      <c r="B25" t="s">
        <v>538</v>
      </c>
      <c r="C25" t="s">
        <v>993</v>
      </c>
      <c r="D25" t="s">
        <v>1371</v>
      </c>
      <c r="E25" t="s">
        <v>1374</v>
      </c>
      <c r="F25" t="s">
        <v>1377</v>
      </c>
      <c r="G25" t="s">
        <v>1383</v>
      </c>
      <c r="H25" t="s">
        <v>1389</v>
      </c>
      <c r="I25" t="s">
        <v>1392</v>
      </c>
      <c r="J25" t="s">
        <v>1401</v>
      </c>
      <c r="K25" t="s">
        <v>1427</v>
      </c>
      <c r="L25">
        <v>768.46</v>
      </c>
      <c r="M25">
        <v>5</v>
      </c>
      <c r="N25">
        <v>0</v>
      </c>
      <c r="O25">
        <v>-152.33000000000001</v>
      </c>
    </row>
    <row r="26" spans="1:15" x14ac:dyDescent="0.3">
      <c r="A26" t="s">
        <v>39</v>
      </c>
      <c r="B26" t="s">
        <v>539</v>
      </c>
      <c r="C26" t="s">
        <v>994</v>
      </c>
      <c r="D26" t="s">
        <v>1359</v>
      </c>
      <c r="E26" t="s">
        <v>1376</v>
      </c>
      <c r="F26" t="s">
        <v>1378</v>
      </c>
      <c r="G26" t="s">
        <v>1381</v>
      </c>
      <c r="H26" t="s">
        <v>1391</v>
      </c>
      <c r="I26" t="s">
        <v>1392</v>
      </c>
      <c r="J26" t="s">
        <v>1395</v>
      </c>
      <c r="K26" t="s">
        <v>1410</v>
      </c>
      <c r="L26">
        <v>1086.6400000000001</v>
      </c>
      <c r="M26">
        <v>9</v>
      </c>
      <c r="N26">
        <v>0</v>
      </c>
      <c r="O26">
        <v>236.12</v>
      </c>
    </row>
    <row r="27" spans="1:15" x14ac:dyDescent="0.3">
      <c r="A27" t="s">
        <v>40</v>
      </c>
      <c r="B27" t="s">
        <v>540</v>
      </c>
      <c r="C27" t="s">
        <v>995</v>
      </c>
      <c r="D27" t="s">
        <v>1364</v>
      </c>
      <c r="E27" t="s">
        <v>1375</v>
      </c>
      <c r="F27" t="s">
        <v>1378</v>
      </c>
      <c r="G27" t="s">
        <v>1386</v>
      </c>
      <c r="H27" t="s">
        <v>1390</v>
      </c>
      <c r="I27" t="s">
        <v>1394</v>
      </c>
      <c r="J27" t="s">
        <v>1402</v>
      </c>
      <c r="K27" t="s">
        <v>1428</v>
      </c>
      <c r="L27">
        <v>824.84</v>
      </c>
      <c r="M27">
        <v>2</v>
      </c>
      <c r="N27">
        <v>0.15</v>
      </c>
      <c r="O27">
        <v>156.77000000000001</v>
      </c>
    </row>
    <row r="28" spans="1:15" x14ac:dyDescent="0.3">
      <c r="A28" t="s">
        <v>41</v>
      </c>
      <c r="B28" t="s">
        <v>541</v>
      </c>
      <c r="C28" t="s">
        <v>996</v>
      </c>
      <c r="D28" t="s">
        <v>1366</v>
      </c>
      <c r="E28" t="s">
        <v>1375</v>
      </c>
      <c r="F28" t="s">
        <v>1377</v>
      </c>
      <c r="G28" t="s">
        <v>1387</v>
      </c>
      <c r="H28" t="s">
        <v>1390</v>
      </c>
      <c r="I28" t="s">
        <v>1392</v>
      </c>
      <c r="J28" t="s">
        <v>1395</v>
      </c>
      <c r="K28" t="s">
        <v>1429</v>
      </c>
      <c r="L28">
        <v>1110.9000000000001</v>
      </c>
      <c r="M28">
        <v>7</v>
      </c>
      <c r="N28">
        <v>0.1</v>
      </c>
      <c r="O28">
        <v>-73.98</v>
      </c>
    </row>
    <row r="29" spans="1:15" x14ac:dyDescent="0.3">
      <c r="A29" t="s">
        <v>42</v>
      </c>
      <c r="B29" t="s">
        <v>542</v>
      </c>
      <c r="C29" t="s">
        <v>997</v>
      </c>
      <c r="D29" t="s">
        <v>1372</v>
      </c>
      <c r="E29" t="s">
        <v>1374</v>
      </c>
      <c r="F29" t="s">
        <v>1377</v>
      </c>
      <c r="G29" t="s">
        <v>1382</v>
      </c>
      <c r="H29" t="s">
        <v>1391</v>
      </c>
      <c r="I29" t="s">
        <v>1392</v>
      </c>
      <c r="J29" t="s">
        <v>1401</v>
      </c>
      <c r="K29" t="s">
        <v>1430</v>
      </c>
      <c r="L29">
        <v>47.92</v>
      </c>
      <c r="M29">
        <v>4</v>
      </c>
      <c r="N29">
        <v>0.2</v>
      </c>
      <c r="O29">
        <v>-1.72</v>
      </c>
    </row>
    <row r="30" spans="1:15" x14ac:dyDescent="0.3">
      <c r="A30" t="s">
        <v>43</v>
      </c>
      <c r="B30" t="s">
        <v>543</v>
      </c>
      <c r="C30" t="s">
        <v>998</v>
      </c>
      <c r="D30" t="s">
        <v>1362</v>
      </c>
      <c r="E30" t="s">
        <v>1376</v>
      </c>
      <c r="F30" t="s">
        <v>1377</v>
      </c>
      <c r="G30" t="s">
        <v>1383</v>
      </c>
      <c r="H30" t="s">
        <v>1388</v>
      </c>
      <c r="I30" t="s">
        <v>1392</v>
      </c>
      <c r="J30" t="s">
        <v>1395</v>
      </c>
      <c r="K30" t="s">
        <v>1431</v>
      </c>
      <c r="L30">
        <v>1155.79</v>
      </c>
      <c r="M30">
        <v>5</v>
      </c>
      <c r="N30">
        <v>0</v>
      </c>
      <c r="O30">
        <v>-168.51</v>
      </c>
    </row>
    <row r="31" spans="1:15" x14ac:dyDescent="0.3">
      <c r="A31" t="s">
        <v>44</v>
      </c>
      <c r="B31" t="s">
        <v>544</v>
      </c>
      <c r="C31" t="s">
        <v>999</v>
      </c>
      <c r="D31" t="s">
        <v>1368</v>
      </c>
      <c r="E31" t="s">
        <v>1376</v>
      </c>
      <c r="F31" t="s">
        <v>1380</v>
      </c>
      <c r="G31" t="s">
        <v>1382</v>
      </c>
      <c r="H31" t="s">
        <v>1391</v>
      </c>
      <c r="I31" t="s">
        <v>1394</v>
      </c>
      <c r="J31" t="s">
        <v>1402</v>
      </c>
      <c r="K31" t="s">
        <v>1432</v>
      </c>
      <c r="L31">
        <v>856.37</v>
      </c>
      <c r="M31">
        <v>1</v>
      </c>
      <c r="O31">
        <v>225.04</v>
      </c>
    </row>
    <row r="32" spans="1:15" x14ac:dyDescent="0.3">
      <c r="A32" t="s">
        <v>45</v>
      </c>
      <c r="B32" t="s">
        <v>545</v>
      </c>
      <c r="C32" t="s">
        <v>1000</v>
      </c>
      <c r="D32" t="s">
        <v>1359</v>
      </c>
      <c r="E32" t="s">
        <v>1375</v>
      </c>
      <c r="F32" t="s">
        <v>1377</v>
      </c>
      <c r="G32" t="s">
        <v>1382</v>
      </c>
      <c r="H32" t="s">
        <v>1389</v>
      </c>
      <c r="I32" t="s">
        <v>1393</v>
      </c>
      <c r="J32" t="s">
        <v>1399</v>
      </c>
      <c r="K32" t="s">
        <v>1433</v>
      </c>
      <c r="L32">
        <v>618.4</v>
      </c>
      <c r="M32">
        <v>7</v>
      </c>
      <c r="N32">
        <v>0.15</v>
      </c>
      <c r="O32">
        <v>0.74</v>
      </c>
    </row>
    <row r="33" spans="1:15" x14ac:dyDescent="0.3">
      <c r="A33" t="s">
        <v>46</v>
      </c>
      <c r="B33" t="s">
        <v>546</v>
      </c>
      <c r="C33" t="s">
        <v>1001</v>
      </c>
      <c r="D33" t="s">
        <v>1365</v>
      </c>
      <c r="E33" t="s">
        <v>1374</v>
      </c>
      <c r="F33" t="s">
        <v>1379</v>
      </c>
      <c r="G33" t="s">
        <v>1385</v>
      </c>
      <c r="H33" t="s">
        <v>1389</v>
      </c>
      <c r="I33" t="s">
        <v>1393</v>
      </c>
      <c r="J33" t="s">
        <v>1396</v>
      </c>
      <c r="K33" t="s">
        <v>1434</v>
      </c>
      <c r="L33">
        <v>375.12</v>
      </c>
      <c r="M33">
        <v>9</v>
      </c>
      <c r="N33">
        <v>0</v>
      </c>
      <c r="O33">
        <v>-18.03</v>
      </c>
    </row>
    <row r="34" spans="1:15" x14ac:dyDescent="0.3">
      <c r="A34" t="s">
        <v>47</v>
      </c>
      <c r="B34" t="s">
        <v>547</v>
      </c>
      <c r="C34" t="s">
        <v>1002</v>
      </c>
      <c r="D34" t="s">
        <v>1360</v>
      </c>
      <c r="E34" t="s">
        <v>1375</v>
      </c>
      <c r="F34" t="s">
        <v>1378</v>
      </c>
      <c r="G34" t="s">
        <v>1382</v>
      </c>
      <c r="H34" t="s">
        <v>1391</v>
      </c>
      <c r="I34" t="s">
        <v>1393</v>
      </c>
      <c r="J34" t="s">
        <v>1399</v>
      </c>
      <c r="K34" t="s">
        <v>1435</v>
      </c>
      <c r="L34">
        <v>956.61</v>
      </c>
      <c r="M34">
        <v>3</v>
      </c>
      <c r="N34">
        <v>0</v>
      </c>
      <c r="O34">
        <v>-55.59</v>
      </c>
    </row>
    <row r="35" spans="1:15" x14ac:dyDescent="0.3">
      <c r="A35" t="s">
        <v>48</v>
      </c>
      <c r="B35" t="s">
        <v>548</v>
      </c>
      <c r="C35" t="s">
        <v>1003</v>
      </c>
      <c r="D35" t="s">
        <v>1373</v>
      </c>
      <c r="E35" t="s">
        <v>1374</v>
      </c>
      <c r="F35" t="s">
        <v>1378</v>
      </c>
      <c r="G35" t="s">
        <v>1382</v>
      </c>
      <c r="H35" t="s">
        <v>1389</v>
      </c>
      <c r="I35" t="s">
        <v>1392</v>
      </c>
      <c r="J35" t="s">
        <v>1401</v>
      </c>
      <c r="K35" t="s">
        <v>1436</v>
      </c>
      <c r="L35">
        <v>74.53</v>
      </c>
      <c r="M35">
        <v>8</v>
      </c>
      <c r="O35">
        <v>16.760000000000002</v>
      </c>
    </row>
    <row r="36" spans="1:15" x14ac:dyDescent="0.3">
      <c r="A36" t="s">
        <v>49</v>
      </c>
      <c r="B36" t="s">
        <v>549</v>
      </c>
      <c r="C36" t="s">
        <v>1004</v>
      </c>
      <c r="D36" t="s">
        <v>1360</v>
      </c>
      <c r="E36" t="s">
        <v>1375</v>
      </c>
      <c r="F36" t="s">
        <v>1378</v>
      </c>
      <c r="G36" t="s">
        <v>1386</v>
      </c>
      <c r="H36" t="s">
        <v>1388</v>
      </c>
      <c r="I36" t="s">
        <v>1392</v>
      </c>
      <c r="J36" t="s">
        <v>1395</v>
      </c>
      <c r="K36" t="s">
        <v>1429</v>
      </c>
      <c r="L36">
        <v>831.39</v>
      </c>
      <c r="M36">
        <v>2</v>
      </c>
      <c r="N36">
        <v>0.2</v>
      </c>
      <c r="O36">
        <v>-75.31</v>
      </c>
    </row>
    <row r="37" spans="1:15" x14ac:dyDescent="0.3">
      <c r="A37" t="s">
        <v>50</v>
      </c>
      <c r="B37" t="s">
        <v>550</v>
      </c>
      <c r="C37" t="s">
        <v>1005</v>
      </c>
      <c r="D37" t="s">
        <v>1364</v>
      </c>
      <c r="E37" t="s">
        <v>1374</v>
      </c>
      <c r="F37" t="s">
        <v>1377</v>
      </c>
      <c r="G37" t="s">
        <v>1386</v>
      </c>
      <c r="H37" t="s">
        <v>1389</v>
      </c>
      <c r="I37" t="s">
        <v>1393</v>
      </c>
      <c r="J37" t="s">
        <v>1396</v>
      </c>
      <c r="K37" t="s">
        <v>1437</v>
      </c>
      <c r="L37">
        <v>1185.71</v>
      </c>
      <c r="M37">
        <v>10</v>
      </c>
      <c r="N37">
        <v>0.15</v>
      </c>
      <c r="O37">
        <v>326.08999999999997</v>
      </c>
    </row>
    <row r="38" spans="1:15" x14ac:dyDescent="0.3">
      <c r="A38" t="s">
        <v>51</v>
      </c>
      <c r="B38" t="s">
        <v>551</v>
      </c>
      <c r="C38" t="s">
        <v>1001</v>
      </c>
      <c r="D38" t="s">
        <v>1372</v>
      </c>
      <c r="E38" t="s">
        <v>1375</v>
      </c>
      <c r="F38" t="s">
        <v>1379</v>
      </c>
      <c r="G38" t="s">
        <v>1387</v>
      </c>
      <c r="H38" t="s">
        <v>1391</v>
      </c>
      <c r="I38" t="s">
        <v>1394</v>
      </c>
      <c r="J38" t="s">
        <v>1403</v>
      </c>
      <c r="K38" t="s">
        <v>1438</v>
      </c>
      <c r="L38">
        <v>907.1</v>
      </c>
      <c r="M38">
        <v>5</v>
      </c>
      <c r="O38">
        <v>38.369999999999997</v>
      </c>
    </row>
    <row r="39" spans="1:15" x14ac:dyDescent="0.3">
      <c r="A39" t="s">
        <v>52</v>
      </c>
      <c r="B39" t="s">
        <v>552</v>
      </c>
      <c r="C39" t="s">
        <v>1006</v>
      </c>
      <c r="D39" t="s">
        <v>1373</v>
      </c>
      <c r="E39" t="s">
        <v>1376</v>
      </c>
      <c r="F39" t="s">
        <v>1377</v>
      </c>
      <c r="G39" t="s">
        <v>1385</v>
      </c>
      <c r="H39" t="s">
        <v>1388</v>
      </c>
      <c r="I39" t="s">
        <v>1392</v>
      </c>
      <c r="J39" t="s">
        <v>1401</v>
      </c>
      <c r="K39" t="s">
        <v>1439</v>
      </c>
      <c r="L39">
        <v>197.98</v>
      </c>
      <c r="M39">
        <v>7</v>
      </c>
      <c r="N39">
        <v>0.1</v>
      </c>
      <c r="O39">
        <v>30.33</v>
      </c>
    </row>
    <row r="40" spans="1:15" x14ac:dyDescent="0.3">
      <c r="A40" t="s">
        <v>53</v>
      </c>
      <c r="B40" t="s">
        <v>553</v>
      </c>
      <c r="C40" t="s">
        <v>1007</v>
      </c>
      <c r="D40" t="s">
        <v>1372</v>
      </c>
      <c r="E40" t="s">
        <v>1376</v>
      </c>
      <c r="F40" t="s">
        <v>1377</v>
      </c>
      <c r="G40" t="s">
        <v>1383</v>
      </c>
      <c r="H40" t="s">
        <v>1390</v>
      </c>
      <c r="I40" t="s">
        <v>1394</v>
      </c>
      <c r="J40" t="s">
        <v>1398</v>
      </c>
      <c r="K40" t="s">
        <v>1440</v>
      </c>
      <c r="L40">
        <v>1136.3499999999999</v>
      </c>
      <c r="M40">
        <v>1</v>
      </c>
      <c r="O40">
        <v>-11.15</v>
      </c>
    </row>
    <row r="41" spans="1:15" x14ac:dyDescent="0.3">
      <c r="A41" t="s">
        <v>54</v>
      </c>
      <c r="B41" t="s">
        <v>554</v>
      </c>
      <c r="C41" t="s">
        <v>1008</v>
      </c>
      <c r="D41" t="s">
        <v>1370</v>
      </c>
      <c r="E41" t="s">
        <v>1374</v>
      </c>
      <c r="F41" t="s">
        <v>1380</v>
      </c>
      <c r="G41" t="s">
        <v>1385</v>
      </c>
      <c r="H41" t="s">
        <v>1388</v>
      </c>
      <c r="I41" t="s">
        <v>1394</v>
      </c>
      <c r="J41" t="s">
        <v>1403</v>
      </c>
      <c r="K41" t="s">
        <v>1441</v>
      </c>
      <c r="L41">
        <v>54.25</v>
      </c>
      <c r="M41">
        <v>6</v>
      </c>
      <c r="N41">
        <v>0.2</v>
      </c>
      <c r="O41">
        <v>8.7899999999999991</v>
      </c>
    </row>
    <row r="42" spans="1:15" x14ac:dyDescent="0.3">
      <c r="A42" t="s">
        <v>55</v>
      </c>
      <c r="B42" t="s">
        <v>555</v>
      </c>
      <c r="C42" t="s">
        <v>1009</v>
      </c>
      <c r="D42" t="s">
        <v>1372</v>
      </c>
      <c r="E42" t="s">
        <v>1376</v>
      </c>
      <c r="F42" t="s">
        <v>1379</v>
      </c>
      <c r="G42" t="s">
        <v>1386</v>
      </c>
      <c r="H42" t="s">
        <v>1389</v>
      </c>
      <c r="I42" t="s">
        <v>1392</v>
      </c>
      <c r="J42" t="s">
        <v>1397</v>
      </c>
      <c r="K42" t="s">
        <v>1442</v>
      </c>
      <c r="L42">
        <v>234.44</v>
      </c>
      <c r="M42">
        <v>5</v>
      </c>
      <c r="N42">
        <v>0.2</v>
      </c>
      <c r="O42">
        <v>-8.52</v>
      </c>
    </row>
    <row r="43" spans="1:15" x14ac:dyDescent="0.3">
      <c r="A43" t="s">
        <v>56</v>
      </c>
      <c r="B43" t="s">
        <v>556</v>
      </c>
      <c r="C43" t="s">
        <v>1010</v>
      </c>
      <c r="D43" t="s">
        <v>1369</v>
      </c>
      <c r="E43" t="s">
        <v>1375</v>
      </c>
      <c r="F43" t="s">
        <v>1378</v>
      </c>
      <c r="G43" t="s">
        <v>1386</v>
      </c>
      <c r="H43" t="s">
        <v>1388</v>
      </c>
      <c r="I43" t="s">
        <v>1394</v>
      </c>
      <c r="J43" t="s">
        <v>1402</v>
      </c>
      <c r="K43" t="s">
        <v>1432</v>
      </c>
      <c r="L43">
        <v>903.85</v>
      </c>
      <c r="M43">
        <v>1</v>
      </c>
      <c r="N43">
        <v>0.15</v>
      </c>
      <c r="O43">
        <v>-79.44</v>
      </c>
    </row>
    <row r="44" spans="1:15" x14ac:dyDescent="0.3">
      <c r="A44" t="s">
        <v>57</v>
      </c>
      <c r="B44" t="s">
        <v>557</v>
      </c>
      <c r="C44" t="s">
        <v>1011</v>
      </c>
      <c r="D44" t="s">
        <v>1371</v>
      </c>
      <c r="E44" t="s">
        <v>1374</v>
      </c>
      <c r="F44" t="s">
        <v>1380</v>
      </c>
      <c r="G44" t="s">
        <v>1386</v>
      </c>
      <c r="H44" t="s">
        <v>1390</v>
      </c>
      <c r="I44" t="s">
        <v>1392</v>
      </c>
      <c r="J44" t="s">
        <v>1397</v>
      </c>
      <c r="K44" t="s">
        <v>1443</v>
      </c>
      <c r="L44">
        <v>809.96</v>
      </c>
      <c r="M44">
        <v>10</v>
      </c>
      <c r="N44">
        <v>0.1</v>
      </c>
      <c r="O44">
        <v>26.34</v>
      </c>
    </row>
    <row r="45" spans="1:15" x14ac:dyDescent="0.3">
      <c r="A45" t="s">
        <v>58</v>
      </c>
      <c r="B45" t="s">
        <v>558</v>
      </c>
      <c r="C45" t="s">
        <v>1012</v>
      </c>
      <c r="D45" t="s">
        <v>1361</v>
      </c>
      <c r="E45" t="s">
        <v>1374</v>
      </c>
      <c r="F45" t="s">
        <v>1378</v>
      </c>
      <c r="G45" t="s">
        <v>1381</v>
      </c>
      <c r="H45" t="s">
        <v>1391</v>
      </c>
      <c r="I45" t="s">
        <v>1392</v>
      </c>
      <c r="J45" t="s">
        <v>1397</v>
      </c>
      <c r="K45" t="s">
        <v>1444</v>
      </c>
      <c r="L45">
        <v>699.44</v>
      </c>
      <c r="M45">
        <v>7</v>
      </c>
      <c r="N45">
        <v>0.2</v>
      </c>
      <c r="O45">
        <v>189.36</v>
      </c>
    </row>
    <row r="46" spans="1:15" x14ac:dyDescent="0.3">
      <c r="A46" t="s">
        <v>59</v>
      </c>
      <c r="B46" t="s">
        <v>559</v>
      </c>
      <c r="C46" t="s">
        <v>1013</v>
      </c>
      <c r="D46" t="s">
        <v>1371</v>
      </c>
      <c r="E46" t="s">
        <v>1376</v>
      </c>
      <c r="F46" t="s">
        <v>1377</v>
      </c>
      <c r="G46" t="s">
        <v>1381</v>
      </c>
      <c r="H46" t="s">
        <v>1389</v>
      </c>
      <c r="I46" t="s">
        <v>1393</v>
      </c>
      <c r="J46" t="s">
        <v>1400</v>
      </c>
      <c r="K46" t="s">
        <v>1445</v>
      </c>
      <c r="L46">
        <v>429.7</v>
      </c>
      <c r="M46">
        <v>7</v>
      </c>
      <c r="N46">
        <v>0.15</v>
      </c>
      <c r="O46">
        <v>-71.12</v>
      </c>
    </row>
    <row r="47" spans="1:15" x14ac:dyDescent="0.3">
      <c r="A47" t="s">
        <v>60</v>
      </c>
      <c r="B47" t="s">
        <v>560</v>
      </c>
      <c r="C47" t="s">
        <v>1014</v>
      </c>
      <c r="D47" t="s">
        <v>1373</v>
      </c>
      <c r="E47" t="s">
        <v>1376</v>
      </c>
      <c r="F47" t="s">
        <v>1379</v>
      </c>
      <c r="G47" t="s">
        <v>1384</v>
      </c>
      <c r="H47" t="s">
        <v>1390</v>
      </c>
      <c r="I47" t="s">
        <v>1393</v>
      </c>
      <c r="J47" t="s">
        <v>1400</v>
      </c>
      <c r="K47" t="s">
        <v>1446</v>
      </c>
      <c r="L47">
        <v>533.87</v>
      </c>
      <c r="M47">
        <v>9</v>
      </c>
      <c r="N47">
        <v>0.15</v>
      </c>
      <c r="O47">
        <v>57.63</v>
      </c>
    </row>
    <row r="48" spans="1:15" x14ac:dyDescent="0.3">
      <c r="A48" t="s">
        <v>61</v>
      </c>
      <c r="B48" t="s">
        <v>561</v>
      </c>
      <c r="C48" t="s">
        <v>1015</v>
      </c>
      <c r="D48" t="s">
        <v>1368</v>
      </c>
      <c r="E48" t="s">
        <v>1375</v>
      </c>
      <c r="F48" t="s">
        <v>1379</v>
      </c>
      <c r="G48" t="s">
        <v>1386</v>
      </c>
      <c r="H48" t="s">
        <v>1391</v>
      </c>
      <c r="I48" t="s">
        <v>1392</v>
      </c>
      <c r="J48" t="s">
        <v>1397</v>
      </c>
      <c r="K48" t="s">
        <v>1447</v>
      </c>
      <c r="L48">
        <v>692.42</v>
      </c>
      <c r="M48">
        <v>7</v>
      </c>
      <c r="N48">
        <v>0.15</v>
      </c>
      <c r="O48">
        <v>-128.55000000000001</v>
      </c>
    </row>
    <row r="49" spans="1:15" x14ac:dyDescent="0.3">
      <c r="A49" t="s">
        <v>62</v>
      </c>
      <c r="B49" t="s">
        <v>562</v>
      </c>
      <c r="C49" t="s">
        <v>1016</v>
      </c>
      <c r="D49" t="s">
        <v>1373</v>
      </c>
      <c r="E49" t="s">
        <v>1374</v>
      </c>
      <c r="F49" t="s">
        <v>1378</v>
      </c>
      <c r="G49" t="s">
        <v>1382</v>
      </c>
      <c r="H49" t="s">
        <v>1389</v>
      </c>
      <c r="I49" t="s">
        <v>1393</v>
      </c>
      <c r="J49" t="s">
        <v>1399</v>
      </c>
      <c r="K49" t="s">
        <v>1448</v>
      </c>
      <c r="L49">
        <v>675.83</v>
      </c>
      <c r="M49">
        <v>9</v>
      </c>
      <c r="N49">
        <v>0.1</v>
      </c>
      <c r="O49">
        <v>-106.24</v>
      </c>
    </row>
    <row r="50" spans="1:15" x14ac:dyDescent="0.3">
      <c r="A50" t="s">
        <v>63</v>
      </c>
      <c r="B50" t="s">
        <v>563</v>
      </c>
      <c r="C50" t="s">
        <v>1017</v>
      </c>
      <c r="D50" t="s">
        <v>1360</v>
      </c>
      <c r="E50" t="s">
        <v>1376</v>
      </c>
      <c r="F50" t="s">
        <v>1379</v>
      </c>
      <c r="G50" t="s">
        <v>1385</v>
      </c>
      <c r="H50" t="s">
        <v>1391</v>
      </c>
      <c r="I50" t="s">
        <v>1394</v>
      </c>
      <c r="J50" t="s">
        <v>1402</v>
      </c>
      <c r="K50" t="s">
        <v>1449</v>
      </c>
      <c r="L50">
        <v>129.80000000000001</v>
      </c>
      <c r="M50">
        <v>4</v>
      </c>
      <c r="N50">
        <v>0.2</v>
      </c>
      <c r="O50">
        <v>18.940000000000001</v>
      </c>
    </row>
    <row r="51" spans="1:15" x14ac:dyDescent="0.3">
      <c r="A51" t="s">
        <v>64</v>
      </c>
      <c r="B51" t="s">
        <v>564</v>
      </c>
      <c r="C51" t="s">
        <v>1018</v>
      </c>
      <c r="D51" t="s">
        <v>1364</v>
      </c>
      <c r="E51" t="s">
        <v>1375</v>
      </c>
      <c r="F51" t="s">
        <v>1378</v>
      </c>
      <c r="G51" t="s">
        <v>1387</v>
      </c>
      <c r="H51" t="s">
        <v>1389</v>
      </c>
      <c r="I51" t="s">
        <v>1394</v>
      </c>
      <c r="J51" t="s">
        <v>1403</v>
      </c>
      <c r="K51" t="s">
        <v>1450</v>
      </c>
      <c r="L51">
        <v>316.66000000000003</v>
      </c>
      <c r="M51">
        <v>2</v>
      </c>
      <c r="N51">
        <v>0.1</v>
      </c>
      <c r="O51">
        <v>-13.37</v>
      </c>
    </row>
    <row r="52" spans="1:15" x14ac:dyDescent="0.3">
      <c r="A52" t="s">
        <v>65</v>
      </c>
      <c r="B52" t="s">
        <v>565</v>
      </c>
      <c r="C52" t="s">
        <v>1019</v>
      </c>
      <c r="D52" t="s">
        <v>1368</v>
      </c>
      <c r="E52" t="s">
        <v>1375</v>
      </c>
      <c r="F52" t="s">
        <v>1378</v>
      </c>
      <c r="G52" t="s">
        <v>1384</v>
      </c>
      <c r="H52" t="s">
        <v>1388</v>
      </c>
      <c r="I52" t="s">
        <v>1393</v>
      </c>
      <c r="J52" t="s">
        <v>1396</v>
      </c>
      <c r="K52" t="s">
        <v>1451</v>
      </c>
      <c r="L52">
        <v>353.94</v>
      </c>
      <c r="M52">
        <v>2</v>
      </c>
      <c r="N52">
        <v>0.1</v>
      </c>
      <c r="O52">
        <v>-18.36</v>
      </c>
    </row>
    <row r="53" spans="1:15" x14ac:dyDescent="0.3">
      <c r="A53" t="s">
        <v>66</v>
      </c>
      <c r="B53" t="s">
        <v>566</v>
      </c>
      <c r="C53" t="s">
        <v>1020</v>
      </c>
      <c r="D53" t="s">
        <v>1372</v>
      </c>
      <c r="E53" t="s">
        <v>1376</v>
      </c>
      <c r="F53" t="s">
        <v>1377</v>
      </c>
      <c r="G53" t="s">
        <v>1384</v>
      </c>
      <c r="H53" t="s">
        <v>1390</v>
      </c>
      <c r="I53" t="s">
        <v>1393</v>
      </c>
      <c r="J53" t="s">
        <v>1400</v>
      </c>
      <c r="K53" t="s">
        <v>1452</v>
      </c>
      <c r="L53">
        <v>772.69</v>
      </c>
      <c r="M53">
        <v>8</v>
      </c>
      <c r="N53">
        <v>0</v>
      </c>
      <c r="O53">
        <v>182.63</v>
      </c>
    </row>
    <row r="54" spans="1:15" x14ac:dyDescent="0.3">
      <c r="A54" t="s">
        <v>67</v>
      </c>
      <c r="B54" t="s">
        <v>567</v>
      </c>
      <c r="C54" t="s">
        <v>978</v>
      </c>
      <c r="D54" t="s">
        <v>1363</v>
      </c>
      <c r="E54" t="s">
        <v>1374</v>
      </c>
      <c r="F54" t="s">
        <v>1379</v>
      </c>
      <c r="G54" t="s">
        <v>1381</v>
      </c>
      <c r="H54" t="s">
        <v>1390</v>
      </c>
      <c r="I54" t="s">
        <v>1392</v>
      </c>
      <c r="J54" t="s">
        <v>1401</v>
      </c>
      <c r="K54" t="s">
        <v>1453</v>
      </c>
      <c r="L54">
        <v>492.83</v>
      </c>
      <c r="M54">
        <v>2</v>
      </c>
      <c r="O54">
        <v>56.54</v>
      </c>
    </row>
    <row r="55" spans="1:15" x14ac:dyDescent="0.3">
      <c r="A55" t="s">
        <v>68</v>
      </c>
      <c r="B55" t="s">
        <v>568</v>
      </c>
      <c r="C55" t="s">
        <v>1021</v>
      </c>
      <c r="D55" t="s">
        <v>1362</v>
      </c>
      <c r="E55" t="s">
        <v>1376</v>
      </c>
      <c r="F55" t="s">
        <v>1379</v>
      </c>
      <c r="G55" t="s">
        <v>1383</v>
      </c>
      <c r="H55" t="s">
        <v>1388</v>
      </c>
      <c r="I55" t="s">
        <v>1393</v>
      </c>
      <c r="J55" t="s">
        <v>1396</v>
      </c>
      <c r="K55" t="s">
        <v>1454</v>
      </c>
      <c r="L55">
        <v>953.07</v>
      </c>
      <c r="M55">
        <v>4</v>
      </c>
      <c r="O55">
        <v>-9.35</v>
      </c>
    </row>
    <row r="56" spans="1:15" x14ac:dyDescent="0.3">
      <c r="A56" t="s">
        <v>69</v>
      </c>
      <c r="B56" t="s">
        <v>569</v>
      </c>
      <c r="C56" t="s">
        <v>1022</v>
      </c>
      <c r="D56" t="s">
        <v>1369</v>
      </c>
      <c r="E56" t="s">
        <v>1375</v>
      </c>
      <c r="F56" t="s">
        <v>1377</v>
      </c>
      <c r="G56" t="s">
        <v>1385</v>
      </c>
      <c r="H56" t="s">
        <v>1389</v>
      </c>
      <c r="I56" t="s">
        <v>1392</v>
      </c>
      <c r="J56" t="s">
        <v>1395</v>
      </c>
      <c r="K56" t="s">
        <v>1455</v>
      </c>
      <c r="L56">
        <v>269.01</v>
      </c>
      <c r="M56">
        <v>2</v>
      </c>
      <c r="N56">
        <v>0.1</v>
      </c>
      <c r="O56">
        <v>-21.54</v>
      </c>
    </row>
    <row r="57" spans="1:15" x14ac:dyDescent="0.3">
      <c r="A57" t="s">
        <v>70</v>
      </c>
      <c r="B57" t="s">
        <v>570</v>
      </c>
      <c r="C57" t="s">
        <v>1023</v>
      </c>
      <c r="D57" t="s">
        <v>1364</v>
      </c>
      <c r="E57" t="s">
        <v>1375</v>
      </c>
      <c r="F57" t="s">
        <v>1377</v>
      </c>
      <c r="G57" t="s">
        <v>1381</v>
      </c>
      <c r="H57" t="s">
        <v>1390</v>
      </c>
      <c r="I57" t="s">
        <v>1394</v>
      </c>
      <c r="J57" t="s">
        <v>1398</v>
      </c>
      <c r="K57" t="s">
        <v>1456</v>
      </c>
      <c r="L57">
        <v>353.61</v>
      </c>
      <c r="M57">
        <v>8</v>
      </c>
      <c r="N57">
        <v>0</v>
      </c>
      <c r="O57">
        <v>50.81</v>
      </c>
    </row>
    <row r="58" spans="1:15" x14ac:dyDescent="0.3">
      <c r="A58" t="s">
        <v>71</v>
      </c>
      <c r="B58" t="s">
        <v>571</v>
      </c>
      <c r="C58" t="s">
        <v>1024</v>
      </c>
      <c r="D58" t="s">
        <v>1372</v>
      </c>
      <c r="E58" t="s">
        <v>1375</v>
      </c>
      <c r="F58" t="s">
        <v>1377</v>
      </c>
      <c r="G58" t="s">
        <v>1382</v>
      </c>
      <c r="H58" t="s">
        <v>1391</v>
      </c>
      <c r="I58" t="s">
        <v>1392</v>
      </c>
      <c r="J58" t="s">
        <v>1401</v>
      </c>
      <c r="K58" t="s">
        <v>1457</v>
      </c>
      <c r="L58">
        <v>90.37</v>
      </c>
      <c r="M58">
        <v>5</v>
      </c>
      <c r="O58">
        <v>15.77</v>
      </c>
    </row>
    <row r="59" spans="1:15" x14ac:dyDescent="0.3">
      <c r="A59" t="s">
        <v>72</v>
      </c>
      <c r="B59" t="s">
        <v>572</v>
      </c>
      <c r="C59" t="s">
        <v>1025</v>
      </c>
      <c r="D59" t="s">
        <v>1362</v>
      </c>
      <c r="E59" t="s">
        <v>1376</v>
      </c>
      <c r="F59" t="s">
        <v>1380</v>
      </c>
      <c r="G59" t="s">
        <v>1381</v>
      </c>
      <c r="H59" t="s">
        <v>1390</v>
      </c>
      <c r="I59" t="s">
        <v>1393</v>
      </c>
      <c r="J59" t="s">
        <v>1396</v>
      </c>
      <c r="K59" t="s">
        <v>1458</v>
      </c>
      <c r="L59">
        <v>602.67999999999995</v>
      </c>
      <c r="M59">
        <v>2</v>
      </c>
      <c r="O59">
        <v>-108.52</v>
      </c>
    </row>
    <row r="60" spans="1:15" x14ac:dyDescent="0.3">
      <c r="A60" t="s">
        <v>73</v>
      </c>
      <c r="B60" t="s">
        <v>573</v>
      </c>
      <c r="C60" t="s">
        <v>1026</v>
      </c>
      <c r="D60" t="s">
        <v>1365</v>
      </c>
      <c r="E60" t="s">
        <v>1374</v>
      </c>
      <c r="F60" t="s">
        <v>1377</v>
      </c>
      <c r="G60" t="s">
        <v>1384</v>
      </c>
      <c r="H60" t="s">
        <v>1390</v>
      </c>
      <c r="I60" t="s">
        <v>1393</v>
      </c>
      <c r="J60" t="s">
        <v>1400</v>
      </c>
      <c r="K60" t="s">
        <v>1459</v>
      </c>
      <c r="L60">
        <v>1199.5</v>
      </c>
      <c r="M60">
        <v>5</v>
      </c>
      <c r="O60">
        <v>-215.77</v>
      </c>
    </row>
    <row r="61" spans="1:15" x14ac:dyDescent="0.3">
      <c r="A61" t="s">
        <v>74</v>
      </c>
      <c r="B61" t="s">
        <v>574</v>
      </c>
      <c r="C61" t="s">
        <v>1027</v>
      </c>
      <c r="D61" t="s">
        <v>1372</v>
      </c>
      <c r="E61" t="s">
        <v>1374</v>
      </c>
      <c r="F61" t="s">
        <v>1377</v>
      </c>
      <c r="G61" t="s">
        <v>1384</v>
      </c>
      <c r="H61" t="s">
        <v>1389</v>
      </c>
      <c r="I61" t="s">
        <v>1392</v>
      </c>
      <c r="J61" t="s">
        <v>1397</v>
      </c>
      <c r="K61" t="s">
        <v>1460</v>
      </c>
      <c r="L61">
        <v>430.59</v>
      </c>
      <c r="M61">
        <v>6</v>
      </c>
      <c r="N61">
        <v>0.15</v>
      </c>
      <c r="O61">
        <v>58.16</v>
      </c>
    </row>
    <row r="62" spans="1:15" x14ac:dyDescent="0.3">
      <c r="A62" t="s">
        <v>75</v>
      </c>
      <c r="B62" t="s">
        <v>575</v>
      </c>
      <c r="C62" t="s">
        <v>1028</v>
      </c>
      <c r="D62" t="s">
        <v>1359</v>
      </c>
      <c r="E62" t="s">
        <v>1374</v>
      </c>
      <c r="F62" t="s">
        <v>1377</v>
      </c>
      <c r="G62" t="s">
        <v>1385</v>
      </c>
      <c r="H62" t="s">
        <v>1388</v>
      </c>
      <c r="I62" t="s">
        <v>1394</v>
      </c>
      <c r="J62" t="s">
        <v>1402</v>
      </c>
      <c r="K62" t="s">
        <v>1461</v>
      </c>
      <c r="L62">
        <v>391.13</v>
      </c>
      <c r="M62">
        <v>6</v>
      </c>
      <c r="N62">
        <v>0</v>
      </c>
      <c r="O62">
        <v>111.51</v>
      </c>
    </row>
    <row r="63" spans="1:15" x14ac:dyDescent="0.3">
      <c r="A63" t="s">
        <v>76</v>
      </c>
      <c r="B63" t="s">
        <v>576</v>
      </c>
      <c r="C63" t="s">
        <v>1029</v>
      </c>
      <c r="D63" t="s">
        <v>1372</v>
      </c>
      <c r="E63" t="s">
        <v>1374</v>
      </c>
      <c r="F63" t="s">
        <v>1377</v>
      </c>
      <c r="G63" t="s">
        <v>1381</v>
      </c>
      <c r="H63" t="s">
        <v>1388</v>
      </c>
      <c r="I63" t="s">
        <v>1393</v>
      </c>
      <c r="J63" t="s">
        <v>1399</v>
      </c>
      <c r="K63" t="s">
        <v>1462</v>
      </c>
      <c r="L63">
        <v>757.98</v>
      </c>
      <c r="M63">
        <v>1</v>
      </c>
      <c r="N63">
        <v>0.1</v>
      </c>
      <c r="O63">
        <v>-50.38</v>
      </c>
    </row>
    <row r="64" spans="1:15" x14ac:dyDescent="0.3">
      <c r="A64" t="s">
        <v>77</v>
      </c>
      <c r="B64" t="s">
        <v>577</v>
      </c>
      <c r="C64" t="s">
        <v>1030</v>
      </c>
      <c r="D64" t="s">
        <v>1366</v>
      </c>
      <c r="E64" t="s">
        <v>1375</v>
      </c>
      <c r="F64" t="s">
        <v>1378</v>
      </c>
      <c r="G64" t="s">
        <v>1385</v>
      </c>
      <c r="H64" t="s">
        <v>1391</v>
      </c>
      <c r="I64" t="s">
        <v>1393</v>
      </c>
      <c r="J64" t="s">
        <v>1400</v>
      </c>
      <c r="K64" t="s">
        <v>1463</v>
      </c>
      <c r="L64">
        <v>386.69</v>
      </c>
      <c r="M64">
        <v>1</v>
      </c>
      <c r="O64">
        <v>1.54</v>
      </c>
    </row>
    <row r="65" spans="1:15" x14ac:dyDescent="0.3">
      <c r="A65" t="s">
        <v>78</v>
      </c>
      <c r="B65" t="s">
        <v>578</v>
      </c>
      <c r="C65" t="s">
        <v>1018</v>
      </c>
      <c r="D65" t="s">
        <v>1370</v>
      </c>
      <c r="E65" t="s">
        <v>1374</v>
      </c>
      <c r="F65" t="s">
        <v>1378</v>
      </c>
      <c r="G65" t="s">
        <v>1386</v>
      </c>
      <c r="H65" t="s">
        <v>1388</v>
      </c>
      <c r="I65" t="s">
        <v>1394</v>
      </c>
      <c r="J65" t="s">
        <v>1403</v>
      </c>
      <c r="K65" t="s">
        <v>1450</v>
      </c>
      <c r="L65">
        <v>1176.69</v>
      </c>
      <c r="M65">
        <v>4</v>
      </c>
      <c r="N65">
        <v>0.2</v>
      </c>
      <c r="O65">
        <v>89</v>
      </c>
    </row>
    <row r="66" spans="1:15" x14ac:dyDescent="0.3">
      <c r="A66" t="s">
        <v>79</v>
      </c>
      <c r="B66" t="s">
        <v>579</v>
      </c>
      <c r="C66" t="s">
        <v>1031</v>
      </c>
      <c r="D66" t="s">
        <v>1364</v>
      </c>
      <c r="E66" t="s">
        <v>1376</v>
      </c>
      <c r="F66" t="s">
        <v>1378</v>
      </c>
      <c r="G66" t="s">
        <v>1385</v>
      </c>
      <c r="H66" t="s">
        <v>1389</v>
      </c>
      <c r="I66" t="s">
        <v>1394</v>
      </c>
      <c r="J66" t="s">
        <v>1398</v>
      </c>
      <c r="K66" t="s">
        <v>1464</v>
      </c>
      <c r="L66">
        <v>335.26</v>
      </c>
      <c r="M66">
        <v>1</v>
      </c>
      <c r="N66">
        <v>0.15</v>
      </c>
      <c r="O66">
        <v>54.66</v>
      </c>
    </row>
    <row r="67" spans="1:15" x14ac:dyDescent="0.3">
      <c r="A67" t="s">
        <v>80</v>
      </c>
      <c r="B67" t="s">
        <v>580</v>
      </c>
      <c r="C67" t="s">
        <v>985</v>
      </c>
      <c r="D67" t="s">
        <v>1360</v>
      </c>
      <c r="E67" t="s">
        <v>1375</v>
      </c>
      <c r="F67" t="s">
        <v>1377</v>
      </c>
      <c r="G67" t="s">
        <v>1381</v>
      </c>
      <c r="H67" t="s">
        <v>1391</v>
      </c>
      <c r="I67" t="s">
        <v>1393</v>
      </c>
      <c r="J67" t="s">
        <v>1399</v>
      </c>
      <c r="K67" t="s">
        <v>1465</v>
      </c>
      <c r="L67">
        <v>557.30999999999995</v>
      </c>
      <c r="M67">
        <v>6</v>
      </c>
      <c r="N67">
        <v>0.1</v>
      </c>
      <c r="O67">
        <v>161.84</v>
      </c>
    </row>
    <row r="68" spans="1:15" x14ac:dyDescent="0.3">
      <c r="A68" t="s">
        <v>81</v>
      </c>
      <c r="B68" t="s">
        <v>581</v>
      </c>
      <c r="C68" t="s">
        <v>1032</v>
      </c>
      <c r="D68" t="s">
        <v>1364</v>
      </c>
      <c r="E68" t="s">
        <v>1376</v>
      </c>
      <c r="F68" t="s">
        <v>1380</v>
      </c>
      <c r="G68" t="s">
        <v>1386</v>
      </c>
      <c r="H68" t="s">
        <v>1389</v>
      </c>
      <c r="I68" t="s">
        <v>1394</v>
      </c>
      <c r="J68" t="s">
        <v>1398</v>
      </c>
      <c r="K68" t="s">
        <v>1407</v>
      </c>
      <c r="L68">
        <v>955.02</v>
      </c>
      <c r="M68">
        <v>3</v>
      </c>
      <c r="N68">
        <v>0.2</v>
      </c>
      <c r="O68">
        <v>269.70999999999998</v>
      </c>
    </row>
    <row r="69" spans="1:15" x14ac:dyDescent="0.3">
      <c r="A69" t="s">
        <v>82</v>
      </c>
      <c r="B69" t="s">
        <v>582</v>
      </c>
      <c r="C69" t="s">
        <v>1033</v>
      </c>
      <c r="D69" t="s">
        <v>1362</v>
      </c>
      <c r="E69" t="s">
        <v>1374</v>
      </c>
      <c r="F69" t="s">
        <v>1377</v>
      </c>
      <c r="G69" t="s">
        <v>1382</v>
      </c>
      <c r="H69" t="s">
        <v>1388</v>
      </c>
      <c r="I69" t="s">
        <v>1392</v>
      </c>
      <c r="J69" t="s">
        <v>1395</v>
      </c>
      <c r="K69" t="s">
        <v>1466</v>
      </c>
      <c r="L69">
        <v>190.1</v>
      </c>
      <c r="M69">
        <v>3</v>
      </c>
      <c r="N69">
        <v>0</v>
      </c>
      <c r="O69">
        <v>6.61</v>
      </c>
    </row>
    <row r="70" spans="1:15" x14ac:dyDescent="0.3">
      <c r="A70" t="s">
        <v>83</v>
      </c>
      <c r="B70" t="s">
        <v>583</v>
      </c>
      <c r="C70" t="s">
        <v>1034</v>
      </c>
      <c r="D70" t="s">
        <v>1370</v>
      </c>
      <c r="E70" t="s">
        <v>1374</v>
      </c>
      <c r="F70" t="s">
        <v>1379</v>
      </c>
      <c r="G70" t="s">
        <v>1387</v>
      </c>
      <c r="H70" t="s">
        <v>1388</v>
      </c>
      <c r="I70" t="s">
        <v>1394</v>
      </c>
      <c r="J70" t="s">
        <v>1403</v>
      </c>
      <c r="K70" t="s">
        <v>1467</v>
      </c>
      <c r="L70">
        <v>759.62</v>
      </c>
      <c r="M70">
        <v>8</v>
      </c>
      <c r="O70">
        <v>-138.29</v>
      </c>
    </row>
    <row r="71" spans="1:15" x14ac:dyDescent="0.3">
      <c r="A71" t="s">
        <v>84</v>
      </c>
      <c r="B71" t="s">
        <v>584</v>
      </c>
      <c r="C71" t="s">
        <v>1035</v>
      </c>
      <c r="D71" t="s">
        <v>1372</v>
      </c>
      <c r="E71" t="s">
        <v>1376</v>
      </c>
      <c r="F71" t="s">
        <v>1377</v>
      </c>
      <c r="G71" t="s">
        <v>1387</v>
      </c>
      <c r="H71" t="s">
        <v>1390</v>
      </c>
      <c r="I71" t="s">
        <v>1394</v>
      </c>
      <c r="J71" t="s">
        <v>1402</v>
      </c>
      <c r="K71" t="s">
        <v>1468</v>
      </c>
      <c r="L71">
        <v>838.92</v>
      </c>
      <c r="M71">
        <v>1</v>
      </c>
      <c r="N71">
        <v>0</v>
      </c>
      <c r="O71">
        <v>-31.72</v>
      </c>
    </row>
    <row r="72" spans="1:15" x14ac:dyDescent="0.3">
      <c r="A72" t="s">
        <v>85</v>
      </c>
      <c r="B72" t="s">
        <v>585</v>
      </c>
      <c r="C72" t="s">
        <v>1036</v>
      </c>
      <c r="D72" t="s">
        <v>1368</v>
      </c>
      <c r="E72" t="s">
        <v>1374</v>
      </c>
      <c r="F72" t="s">
        <v>1378</v>
      </c>
      <c r="G72" t="s">
        <v>1387</v>
      </c>
      <c r="H72" t="s">
        <v>1389</v>
      </c>
      <c r="I72" t="s">
        <v>1393</v>
      </c>
      <c r="J72" t="s">
        <v>1400</v>
      </c>
      <c r="K72" t="s">
        <v>1469</v>
      </c>
      <c r="L72">
        <v>220.58</v>
      </c>
      <c r="M72">
        <v>2</v>
      </c>
      <c r="O72">
        <v>51.93</v>
      </c>
    </row>
    <row r="73" spans="1:15" x14ac:dyDescent="0.3">
      <c r="A73" t="s">
        <v>86</v>
      </c>
      <c r="B73" t="s">
        <v>586</v>
      </c>
      <c r="C73" t="s">
        <v>1037</v>
      </c>
      <c r="D73" t="s">
        <v>1366</v>
      </c>
      <c r="E73" t="s">
        <v>1376</v>
      </c>
      <c r="F73" t="s">
        <v>1379</v>
      </c>
      <c r="G73" t="s">
        <v>1382</v>
      </c>
      <c r="H73" t="s">
        <v>1389</v>
      </c>
      <c r="I73" t="s">
        <v>1394</v>
      </c>
      <c r="J73" t="s">
        <v>1398</v>
      </c>
      <c r="K73" t="s">
        <v>1470</v>
      </c>
      <c r="L73">
        <v>31.09</v>
      </c>
      <c r="M73">
        <v>8</v>
      </c>
      <c r="N73">
        <v>0.15</v>
      </c>
      <c r="O73">
        <v>4.32</v>
      </c>
    </row>
    <row r="74" spans="1:15" x14ac:dyDescent="0.3">
      <c r="A74" t="s">
        <v>87</v>
      </c>
      <c r="B74" t="s">
        <v>587</v>
      </c>
      <c r="C74" t="s">
        <v>1038</v>
      </c>
      <c r="D74" t="s">
        <v>1362</v>
      </c>
      <c r="E74" t="s">
        <v>1376</v>
      </c>
      <c r="F74" t="s">
        <v>1379</v>
      </c>
      <c r="G74" t="s">
        <v>1381</v>
      </c>
      <c r="H74" t="s">
        <v>1389</v>
      </c>
      <c r="I74" t="s">
        <v>1394</v>
      </c>
      <c r="J74" t="s">
        <v>1402</v>
      </c>
      <c r="K74" t="s">
        <v>1471</v>
      </c>
      <c r="L74">
        <v>1199.26</v>
      </c>
      <c r="M74">
        <v>8</v>
      </c>
      <c r="N74">
        <v>0</v>
      </c>
      <c r="O74">
        <v>-97.62</v>
      </c>
    </row>
    <row r="75" spans="1:15" x14ac:dyDescent="0.3">
      <c r="A75" t="s">
        <v>88</v>
      </c>
      <c r="B75" t="s">
        <v>588</v>
      </c>
      <c r="C75" t="s">
        <v>1039</v>
      </c>
      <c r="D75" t="s">
        <v>1370</v>
      </c>
      <c r="E75" t="s">
        <v>1376</v>
      </c>
      <c r="F75" t="s">
        <v>1378</v>
      </c>
      <c r="G75" t="s">
        <v>1382</v>
      </c>
      <c r="H75" t="s">
        <v>1390</v>
      </c>
      <c r="I75" t="s">
        <v>1393</v>
      </c>
      <c r="J75" t="s">
        <v>1396</v>
      </c>
      <c r="K75" t="s">
        <v>1454</v>
      </c>
      <c r="L75">
        <v>1168.8499999999999</v>
      </c>
      <c r="M75">
        <v>10</v>
      </c>
      <c r="N75">
        <v>0.2</v>
      </c>
      <c r="O75">
        <v>252.96</v>
      </c>
    </row>
    <row r="76" spans="1:15" x14ac:dyDescent="0.3">
      <c r="A76" t="s">
        <v>89</v>
      </c>
      <c r="B76" t="s">
        <v>589</v>
      </c>
      <c r="C76" t="s">
        <v>1040</v>
      </c>
      <c r="D76" t="s">
        <v>1360</v>
      </c>
      <c r="E76" t="s">
        <v>1374</v>
      </c>
      <c r="F76" t="s">
        <v>1378</v>
      </c>
      <c r="G76" t="s">
        <v>1381</v>
      </c>
      <c r="H76" t="s">
        <v>1391</v>
      </c>
      <c r="I76" t="s">
        <v>1393</v>
      </c>
      <c r="J76" t="s">
        <v>1400</v>
      </c>
      <c r="K76" t="s">
        <v>1472</v>
      </c>
      <c r="L76">
        <v>1086.02</v>
      </c>
      <c r="M76">
        <v>1</v>
      </c>
      <c r="N76">
        <v>0.15</v>
      </c>
      <c r="O76">
        <v>211.02</v>
      </c>
    </row>
    <row r="77" spans="1:15" x14ac:dyDescent="0.3">
      <c r="A77" t="s">
        <v>90</v>
      </c>
      <c r="B77" t="s">
        <v>590</v>
      </c>
      <c r="C77" t="s">
        <v>1041</v>
      </c>
      <c r="D77" t="s">
        <v>1368</v>
      </c>
      <c r="E77" t="s">
        <v>1376</v>
      </c>
      <c r="F77" t="s">
        <v>1379</v>
      </c>
      <c r="G77" t="s">
        <v>1382</v>
      </c>
      <c r="H77" t="s">
        <v>1391</v>
      </c>
      <c r="I77" t="s">
        <v>1392</v>
      </c>
      <c r="J77" t="s">
        <v>1401</v>
      </c>
      <c r="K77" t="s">
        <v>1453</v>
      </c>
      <c r="L77">
        <v>175.95</v>
      </c>
      <c r="M77">
        <v>9</v>
      </c>
      <c r="N77">
        <v>0.15</v>
      </c>
      <c r="O77">
        <v>11.51</v>
      </c>
    </row>
    <row r="78" spans="1:15" x14ac:dyDescent="0.3">
      <c r="A78" t="s">
        <v>91</v>
      </c>
      <c r="B78" t="s">
        <v>591</v>
      </c>
      <c r="C78" t="s">
        <v>1042</v>
      </c>
      <c r="D78" t="s">
        <v>1366</v>
      </c>
      <c r="E78" t="s">
        <v>1374</v>
      </c>
      <c r="F78" t="s">
        <v>1380</v>
      </c>
      <c r="G78" t="s">
        <v>1385</v>
      </c>
      <c r="H78" t="s">
        <v>1391</v>
      </c>
      <c r="I78" t="s">
        <v>1392</v>
      </c>
      <c r="J78" t="s">
        <v>1401</v>
      </c>
      <c r="K78" t="s">
        <v>1473</v>
      </c>
      <c r="L78">
        <v>1034.97</v>
      </c>
      <c r="M78">
        <v>7</v>
      </c>
      <c r="O78">
        <v>-17.71</v>
      </c>
    </row>
    <row r="79" spans="1:15" x14ac:dyDescent="0.3">
      <c r="A79" t="s">
        <v>92</v>
      </c>
      <c r="B79" t="s">
        <v>592</v>
      </c>
      <c r="C79" t="s">
        <v>1043</v>
      </c>
      <c r="D79" t="s">
        <v>1361</v>
      </c>
      <c r="E79" t="s">
        <v>1374</v>
      </c>
      <c r="F79" t="s">
        <v>1379</v>
      </c>
      <c r="G79" t="s">
        <v>1383</v>
      </c>
      <c r="H79" t="s">
        <v>1390</v>
      </c>
      <c r="I79" t="s">
        <v>1393</v>
      </c>
      <c r="J79" t="s">
        <v>1399</v>
      </c>
      <c r="K79" t="s">
        <v>1448</v>
      </c>
      <c r="L79">
        <v>990.45</v>
      </c>
      <c r="M79">
        <v>6</v>
      </c>
      <c r="N79">
        <v>0</v>
      </c>
      <c r="O79">
        <v>136.11000000000001</v>
      </c>
    </row>
    <row r="80" spans="1:15" x14ac:dyDescent="0.3">
      <c r="A80" t="s">
        <v>93</v>
      </c>
      <c r="B80" t="s">
        <v>593</v>
      </c>
      <c r="C80" t="s">
        <v>1044</v>
      </c>
      <c r="D80" t="s">
        <v>1372</v>
      </c>
      <c r="E80" t="s">
        <v>1375</v>
      </c>
      <c r="F80" t="s">
        <v>1380</v>
      </c>
      <c r="G80" t="s">
        <v>1387</v>
      </c>
      <c r="H80" t="s">
        <v>1390</v>
      </c>
      <c r="I80" t="s">
        <v>1393</v>
      </c>
      <c r="J80" t="s">
        <v>1399</v>
      </c>
      <c r="K80" t="s">
        <v>1474</v>
      </c>
      <c r="L80">
        <v>786.1</v>
      </c>
      <c r="M80">
        <v>2</v>
      </c>
      <c r="N80">
        <v>0.1</v>
      </c>
      <c r="O80">
        <v>-139.4</v>
      </c>
    </row>
    <row r="81" spans="1:15" x14ac:dyDescent="0.3">
      <c r="A81" t="s">
        <v>94</v>
      </c>
      <c r="B81" t="s">
        <v>594</v>
      </c>
      <c r="C81" t="s">
        <v>1045</v>
      </c>
      <c r="D81" t="s">
        <v>1368</v>
      </c>
      <c r="E81" t="s">
        <v>1374</v>
      </c>
      <c r="F81" t="s">
        <v>1380</v>
      </c>
      <c r="G81" t="s">
        <v>1386</v>
      </c>
      <c r="H81" t="s">
        <v>1389</v>
      </c>
      <c r="I81" t="s">
        <v>1393</v>
      </c>
      <c r="J81" t="s">
        <v>1396</v>
      </c>
      <c r="K81" t="s">
        <v>1454</v>
      </c>
      <c r="L81">
        <v>841.85</v>
      </c>
      <c r="M81">
        <v>9</v>
      </c>
      <c r="N81">
        <v>0.2</v>
      </c>
      <c r="O81">
        <v>78.86</v>
      </c>
    </row>
    <row r="82" spans="1:15" x14ac:dyDescent="0.3">
      <c r="A82" t="s">
        <v>95</v>
      </c>
      <c r="B82" t="s">
        <v>595</v>
      </c>
      <c r="C82" t="s">
        <v>1046</v>
      </c>
      <c r="D82" t="s">
        <v>1361</v>
      </c>
      <c r="E82" t="s">
        <v>1376</v>
      </c>
      <c r="F82" t="s">
        <v>1379</v>
      </c>
      <c r="G82" t="s">
        <v>1381</v>
      </c>
      <c r="H82" t="s">
        <v>1389</v>
      </c>
      <c r="I82" t="s">
        <v>1392</v>
      </c>
      <c r="J82" t="s">
        <v>1395</v>
      </c>
      <c r="K82" t="s">
        <v>1475</v>
      </c>
      <c r="L82">
        <v>457.23</v>
      </c>
      <c r="M82">
        <v>8</v>
      </c>
      <c r="N82">
        <v>0.2</v>
      </c>
      <c r="O82">
        <v>125.87</v>
      </c>
    </row>
    <row r="83" spans="1:15" x14ac:dyDescent="0.3">
      <c r="A83" t="s">
        <v>96</v>
      </c>
      <c r="B83" t="s">
        <v>596</v>
      </c>
      <c r="C83" t="s">
        <v>1047</v>
      </c>
      <c r="D83" t="s">
        <v>1363</v>
      </c>
      <c r="E83" t="s">
        <v>1374</v>
      </c>
      <c r="F83" t="s">
        <v>1378</v>
      </c>
      <c r="G83" t="s">
        <v>1381</v>
      </c>
      <c r="H83" t="s">
        <v>1390</v>
      </c>
      <c r="I83" t="s">
        <v>1394</v>
      </c>
      <c r="J83" t="s">
        <v>1402</v>
      </c>
      <c r="K83" t="s">
        <v>1476</v>
      </c>
      <c r="L83">
        <v>802.07</v>
      </c>
      <c r="M83">
        <v>10</v>
      </c>
      <c r="N83">
        <v>0</v>
      </c>
      <c r="O83">
        <v>-140.13</v>
      </c>
    </row>
    <row r="84" spans="1:15" x14ac:dyDescent="0.3">
      <c r="A84" t="s">
        <v>97</v>
      </c>
      <c r="B84" t="s">
        <v>597</v>
      </c>
      <c r="C84" t="s">
        <v>1048</v>
      </c>
      <c r="D84" t="s">
        <v>1370</v>
      </c>
      <c r="E84" t="s">
        <v>1376</v>
      </c>
      <c r="F84" t="s">
        <v>1378</v>
      </c>
      <c r="G84" t="s">
        <v>1381</v>
      </c>
      <c r="H84" t="s">
        <v>1388</v>
      </c>
      <c r="I84" t="s">
        <v>1394</v>
      </c>
      <c r="J84" t="s">
        <v>1402</v>
      </c>
      <c r="K84" t="s">
        <v>1477</v>
      </c>
      <c r="L84">
        <v>950.6</v>
      </c>
      <c r="M84">
        <v>10</v>
      </c>
      <c r="N84">
        <v>0</v>
      </c>
      <c r="O84">
        <v>-58.33</v>
      </c>
    </row>
    <row r="85" spans="1:15" x14ac:dyDescent="0.3">
      <c r="A85" t="s">
        <v>98</v>
      </c>
      <c r="B85" t="s">
        <v>598</v>
      </c>
      <c r="C85" t="s">
        <v>1049</v>
      </c>
      <c r="D85" t="s">
        <v>1365</v>
      </c>
      <c r="E85" t="s">
        <v>1375</v>
      </c>
      <c r="F85" t="s">
        <v>1380</v>
      </c>
      <c r="G85" t="s">
        <v>1385</v>
      </c>
      <c r="H85" t="s">
        <v>1389</v>
      </c>
      <c r="I85" t="s">
        <v>1392</v>
      </c>
      <c r="J85" t="s">
        <v>1395</v>
      </c>
      <c r="K85" t="s">
        <v>1478</v>
      </c>
      <c r="L85">
        <v>402.05</v>
      </c>
      <c r="M85">
        <v>3</v>
      </c>
      <c r="N85">
        <v>0.15</v>
      </c>
      <c r="O85">
        <v>-69.88</v>
      </c>
    </row>
    <row r="86" spans="1:15" x14ac:dyDescent="0.3">
      <c r="A86" t="s">
        <v>99</v>
      </c>
      <c r="B86" t="s">
        <v>599</v>
      </c>
      <c r="C86" t="s">
        <v>1050</v>
      </c>
      <c r="D86" t="s">
        <v>1360</v>
      </c>
      <c r="E86" t="s">
        <v>1376</v>
      </c>
      <c r="F86" t="s">
        <v>1380</v>
      </c>
      <c r="G86" t="s">
        <v>1381</v>
      </c>
      <c r="H86" t="s">
        <v>1389</v>
      </c>
      <c r="I86" t="s">
        <v>1393</v>
      </c>
      <c r="J86" t="s">
        <v>1400</v>
      </c>
      <c r="K86" t="s">
        <v>1479</v>
      </c>
      <c r="L86">
        <v>553.37</v>
      </c>
      <c r="M86">
        <v>4</v>
      </c>
      <c r="O86">
        <v>-98.68</v>
      </c>
    </row>
    <row r="87" spans="1:15" x14ac:dyDescent="0.3">
      <c r="A87" t="s">
        <v>100</v>
      </c>
      <c r="B87" t="s">
        <v>600</v>
      </c>
      <c r="C87" t="s">
        <v>1051</v>
      </c>
      <c r="D87" t="s">
        <v>1369</v>
      </c>
      <c r="E87" t="s">
        <v>1376</v>
      </c>
      <c r="F87" t="s">
        <v>1379</v>
      </c>
      <c r="G87" t="s">
        <v>1385</v>
      </c>
      <c r="H87" t="s">
        <v>1391</v>
      </c>
      <c r="I87" t="s">
        <v>1394</v>
      </c>
      <c r="J87" t="s">
        <v>1398</v>
      </c>
      <c r="K87" t="s">
        <v>1480</v>
      </c>
      <c r="L87">
        <v>1093.45</v>
      </c>
      <c r="M87">
        <v>2</v>
      </c>
      <c r="N87">
        <v>0</v>
      </c>
      <c r="O87">
        <v>-42.58</v>
      </c>
    </row>
    <row r="88" spans="1:15" x14ac:dyDescent="0.3">
      <c r="A88" t="s">
        <v>101</v>
      </c>
      <c r="B88" t="s">
        <v>601</v>
      </c>
      <c r="C88" t="s">
        <v>1052</v>
      </c>
      <c r="D88" t="s">
        <v>1373</v>
      </c>
      <c r="E88" t="s">
        <v>1375</v>
      </c>
      <c r="F88" t="s">
        <v>1377</v>
      </c>
      <c r="G88" t="s">
        <v>1384</v>
      </c>
      <c r="H88" t="s">
        <v>1389</v>
      </c>
      <c r="I88" t="s">
        <v>1394</v>
      </c>
      <c r="J88" t="s">
        <v>1402</v>
      </c>
      <c r="K88" t="s">
        <v>1481</v>
      </c>
      <c r="L88">
        <v>955.85</v>
      </c>
      <c r="M88">
        <v>2</v>
      </c>
      <c r="O88">
        <v>153.34</v>
      </c>
    </row>
    <row r="89" spans="1:15" x14ac:dyDescent="0.3">
      <c r="A89" t="s">
        <v>102</v>
      </c>
      <c r="B89" t="s">
        <v>602</v>
      </c>
      <c r="C89" t="s">
        <v>1053</v>
      </c>
      <c r="D89" t="s">
        <v>1367</v>
      </c>
      <c r="E89" t="s">
        <v>1375</v>
      </c>
      <c r="F89" t="s">
        <v>1380</v>
      </c>
      <c r="G89" t="s">
        <v>1381</v>
      </c>
      <c r="H89" t="s">
        <v>1389</v>
      </c>
      <c r="I89" t="s">
        <v>1394</v>
      </c>
      <c r="J89" t="s">
        <v>1403</v>
      </c>
      <c r="K89" t="s">
        <v>1482</v>
      </c>
      <c r="L89">
        <v>388.78</v>
      </c>
      <c r="M89">
        <v>5</v>
      </c>
      <c r="N89">
        <v>0.15</v>
      </c>
      <c r="O89">
        <v>107.61</v>
      </c>
    </row>
    <row r="90" spans="1:15" x14ac:dyDescent="0.3">
      <c r="A90" t="s">
        <v>103</v>
      </c>
      <c r="B90" t="s">
        <v>603</v>
      </c>
      <c r="C90" t="s">
        <v>1054</v>
      </c>
      <c r="D90" t="s">
        <v>1373</v>
      </c>
      <c r="E90" t="s">
        <v>1374</v>
      </c>
      <c r="F90" t="s">
        <v>1377</v>
      </c>
      <c r="G90" t="s">
        <v>1386</v>
      </c>
      <c r="H90" t="s">
        <v>1388</v>
      </c>
      <c r="I90" t="s">
        <v>1392</v>
      </c>
      <c r="J90" t="s">
        <v>1395</v>
      </c>
      <c r="K90" t="s">
        <v>1455</v>
      </c>
      <c r="L90">
        <v>90.78</v>
      </c>
      <c r="M90">
        <v>9</v>
      </c>
      <c r="O90">
        <v>-3.19</v>
      </c>
    </row>
    <row r="91" spans="1:15" x14ac:dyDescent="0.3">
      <c r="A91" t="s">
        <v>104</v>
      </c>
      <c r="B91" t="s">
        <v>604</v>
      </c>
      <c r="C91" t="s">
        <v>1055</v>
      </c>
      <c r="D91" t="s">
        <v>1366</v>
      </c>
      <c r="E91" t="s">
        <v>1374</v>
      </c>
      <c r="F91" t="s">
        <v>1379</v>
      </c>
      <c r="G91" t="s">
        <v>1381</v>
      </c>
      <c r="H91" t="s">
        <v>1391</v>
      </c>
      <c r="I91" t="s">
        <v>1394</v>
      </c>
      <c r="J91" t="s">
        <v>1402</v>
      </c>
      <c r="K91" t="s">
        <v>1483</v>
      </c>
      <c r="L91">
        <v>701.94</v>
      </c>
      <c r="M91">
        <v>4</v>
      </c>
      <c r="N91">
        <v>0.1</v>
      </c>
      <c r="O91">
        <v>90.11</v>
      </c>
    </row>
    <row r="92" spans="1:15" x14ac:dyDescent="0.3">
      <c r="A92" t="s">
        <v>105</v>
      </c>
      <c r="B92" t="s">
        <v>605</v>
      </c>
      <c r="C92" t="s">
        <v>1056</v>
      </c>
      <c r="D92" t="s">
        <v>1371</v>
      </c>
      <c r="E92" t="s">
        <v>1375</v>
      </c>
      <c r="F92" t="s">
        <v>1379</v>
      </c>
      <c r="G92" t="s">
        <v>1382</v>
      </c>
      <c r="H92" t="s">
        <v>1391</v>
      </c>
      <c r="I92" t="s">
        <v>1393</v>
      </c>
      <c r="J92" t="s">
        <v>1396</v>
      </c>
      <c r="K92" t="s">
        <v>1405</v>
      </c>
      <c r="L92">
        <v>744.02</v>
      </c>
      <c r="M92">
        <v>9</v>
      </c>
      <c r="N92">
        <v>0</v>
      </c>
      <c r="O92">
        <v>77.75</v>
      </c>
    </row>
    <row r="93" spans="1:15" x14ac:dyDescent="0.3">
      <c r="A93" t="s">
        <v>106</v>
      </c>
      <c r="B93" t="s">
        <v>606</v>
      </c>
      <c r="C93" t="s">
        <v>1057</v>
      </c>
      <c r="D93" t="s">
        <v>1369</v>
      </c>
      <c r="E93" t="s">
        <v>1374</v>
      </c>
      <c r="F93" t="s">
        <v>1378</v>
      </c>
      <c r="G93" t="s">
        <v>1385</v>
      </c>
      <c r="H93" t="s">
        <v>1389</v>
      </c>
      <c r="I93" t="s">
        <v>1392</v>
      </c>
      <c r="J93" t="s">
        <v>1401</v>
      </c>
      <c r="K93" t="s">
        <v>1484</v>
      </c>
      <c r="L93">
        <v>688.26</v>
      </c>
      <c r="M93">
        <v>7</v>
      </c>
      <c r="N93">
        <v>0</v>
      </c>
      <c r="O93">
        <v>-88.83</v>
      </c>
    </row>
    <row r="94" spans="1:15" x14ac:dyDescent="0.3">
      <c r="A94" t="s">
        <v>107</v>
      </c>
      <c r="B94" t="s">
        <v>607</v>
      </c>
      <c r="C94" t="s">
        <v>1058</v>
      </c>
      <c r="D94" t="s">
        <v>1363</v>
      </c>
      <c r="E94" t="s">
        <v>1374</v>
      </c>
      <c r="F94" t="s">
        <v>1380</v>
      </c>
      <c r="G94" t="s">
        <v>1382</v>
      </c>
      <c r="H94" t="s">
        <v>1388</v>
      </c>
      <c r="I94" t="s">
        <v>1394</v>
      </c>
      <c r="J94" t="s">
        <v>1403</v>
      </c>
      <c r="K94" t="s">
        <v>1450</v>
      </c>
      <c r="L94">
        <v>871.48</v>
      </c>
      <c r="M94">
        <v>10</v>
      </c>
      <c r="O94">
        <v>-137.28</v>
      </c>
    </row>
    <row r="95" spans="1:15" x14ac:dyDescent="0.3">
      <c r="A95" t="s">
        <v>108</v>
      </c>
      <c r="B95" t="s">
        <v>608</v>
      </c>
      <c r="C95" t="s">
        <v>1059</v>
      </c>
      <c r="D95" t="s">
        <v>1372</v>
      </c>
      <c r="E95" t="s">
        <v>1375</v>
      </c>
      <c r="F95" t="s">
        <v>1379</v>
      </c>
      <c r="G95" t="s">
        <v>1382</v>
      </c>
      <c r="H95" t="s">
        <v>1389</v>
      </c>
      <c r="I95" t="s">
        <v>1394</v>
      </c>
      <c r="J95" t="s">
        <v>1398</v>
      </c>
      <c r="K95" t="s">
        <v>1485</v>
      </c>
      <c r="L95">
        <v>541.61</v>
      </c>
      <c r="M95">
        <v>5</v>
      </c>
      <c r="N95">
        <v>0.1</v>
      </c>
      <c r="O95">
        <v>96.12</v>
      </c>
    </row>
    <row r="96" spans="1:15" x14ac:dyDescent="0.3">
      <c r="A96" t="s">
        <v>109</v>
      </c>
      <c r="B96" t="s">
        <v>609</v>
      </c>
      <c r="C96" t="s">
        <v>1060</v>
      </c>
      <c r="D96" t="s">
        <v>1363</v>
      </c>
      <c r="E96" t="s">
        <v>1376</v>
      </c>
      <c r="F96" t="s">
        <v>1379</v>
      </c>
      <c r="G96" t="s">
        <v>1384</v>
      </c>
      <c r="H96" t="s">
        <v>1388</v>
      </c>
      <c r="I96" t="s">
        <v>1392</v>
      </c>
      <c r="J96" t="s">
        <v>1401</v>
      </c>
      <c r="K96" t="s">
        <v>1486</v>
      </c>
      <c r="L96">
        <v>486.41</v>
      </c>
      <c r="M96">
        <v>10</v>
      </c>
      <c r="N96">
        <v>0</v>
      </c>
      <c r="O96">
        <v>-95.41</v>
      </c>
    </row>
    <row r="97" spans="1:15" x14ac:dyDescent="0.3">
      <c r="A97" t="s">
        <v>110</v>
      </c>
      <c r="B97" t="s">
        <v>610</v>
      </c>
      <c r="C97" t="s">
        <v>1061</v>
      </c>
      <c r="D97" t="s">
        <v>1371</v>
      </c>
      <c r="E97" t="s">
        <v>1376</v>
      </c>
      <c r="F97" t="s">
        <v>1380</v>
      </c>
      <c r="G97" t="s">
        <v>1385</v>
      </c>
      <c r="H97" t="s">
        <v>1388</v>
      </c>
      <c r="I97" t="s">
        <v>1392</v>
      </c>
      <c r="J97" t="s">
        <v>1401</v>
      </c>
      <c r="K97" t="s">
        <v>1484</v>
      </c>
      <c r="L97">
        <v>468.64</v>
      </c>
      <c r="M97">
        <v>4</v>
      </c>
      <c r="O97">
        <v>37.19</v>
      </c>
    </row>
    <row r="98" spans="1:15" x14ac:dyDescent="0.3">
      <c r="A98" t="s">
        <v>111</v>
      </c>
      <c r="B98" t="s">
        <v>611</v>
      </c>
      <c r="C98" t="s">
        <v>1062</v>
      </c>
      <c r="D98" t="s">
        <v>1371</v>
      </c>
      <c r="E98" t="s">
        <v>1374</v>
      </c>
      <c r="F98" t="s">
        <v>1377</v>
      </c>
      <c r="G98" t="s">
        <v>1386</v>
      </c>
      <c r="H98" t="s">
        <v>1391</v>
      </c>
      <c r="I98" t="s">
        <v>1393</v>
      </c>
      <c r="J98" t="s">
        <v>1399</v>
      </c>
      <c r="K98" t="s">
        <v>1487</v>
      </c>
      <c r="L98">
        <v>696.61</v>
      </c>
      <c r="M98">
        <v>7</v>
      </c>
      <c r="N98">
        <v>0.15</v>
      </c>
      <c r="O98">
        <v>-99.21</v>
      </c>
    </row>
    <row r="99" spans="1:15" x14ac:dyDescent="0.3">
      <c r="A99" t="s">
        <v>112</v>
      </c>
      <c r="B99" t="s">
        <v>612</v>
      </c>
      <c r="C99" t="s">
        <v>1063</v>
      </c>
      <c r="D99" t="s">
        <v>1371</v>
      </c>
      <c r="E99" t="s">
        <v>1376</v>
      </c>
      <c r="F99" t="s">
        <v>1378</v>
      </c>
      <c r="G99" t="s">
        <v>1381</v>
      </c>
      <c r="H99" t="s">
        <v>1388</v>
      </c>
      <c r="I99" t="s">
        <v>1392</v>
      </c>
      <c r="J99" t="s">
        <v>1397</v>
      </c>
      <c r="K99" t="s">
        <v>1488</v>
      </c>
      <c r="L99">
        <v>714.87</v>
      </c>
      <c r="M99">
        <v>9</v>
      </c>
      <c r="N99">
        <v>0</v>
      </c>
      <c r="O99">
        <v>-1.51</v>
      </c>
    </row>
    <row r="100" spans="1:15" x14ac:dyDescent="0.3">
      <c r="A100" t="s">
        <v>113</v>
      </c>
      <c r="B100" t="s">
        <v>613</v>
      </c>
      <c r="C100" t="s">
        <v>1064</v>
      </c>
      <c r="D100" t="s">
        <v>1363</v>
      </c>
      <c r="E100" t="s">
        <v>1374</v>
      </c>
      <c r="F100" t="s">
        <v>1378</v>
      </c>
      <c r="G100" t="s">
        <v>1386</v>
      </c>
      <c r="H100" t="s">
        <v>1388</v>
      </c>
      <c r="I100" t="s">
        <v>1394</v>
      </c>
      <c r="J100" t="s">
        <v>1403</v>
      </c>
      <c r="K100" t="s">
        <v>1489</v>
      </c>
      <c r="L100">
        <v>878.31</v>
      </c>
      <c r="M100">
        <v>3</v>
      </c>
      <c r="N100">
        <v>0.1</v>
      </c>
      <c r="O100">
        <v>-130.51</v>
      </c>
    </row>
    <row r="101" spans="1:15" x14ac:dyDescent="0.3">
      <c r="A101" t="s">
        <v>114</v>
      </c>
      <c r="B101" t="s">
        <v>579</v>
      </c>
      <c r="C101" t="s">
        <v>1065</v>
      </c>
      <c r="D101" t="s">
        <v>1362</v>
      </c>
      <c r="E101" t="s">
        <v>1376</v>
      </c>
      <c r="F101" t="s">
        <v>1378</v>
      </c>
      <c r="G101" t="s">
        <v>1385</v>
      </c>
      <c r="H101" t="s">
        <v>1388</v>
      </c>
      <c r="I101" t="s">
        <v>1394</v>
      </c>
      <c r="J101" t="s">
        <v>1398</v>
      </c>
      <c r="K101" t="s">
        <v>1490</v>
      </c>
      <c r="L101">
        <v>916.66</v>
      </c>
      <c r="M101">
        <v>8</v>
      </c>
      <c r="O101">
        <v>111.37</v>
      </c>
    </row>
    <row r="102" spans="1:15" x14ac:dyDescent="0.3">
      <c r="A102" t="s">
        <v>115</v>
      </c>
      <c r="B102" t="s">
        <v>614</v>
      </c>
      <c r="C102" t="s">
        <v>1066</v>
      </c>
      <c r="D102" t="s">
        <v>1369</v>
      </c>
      <c r="E102" t="s">
        <v>1376</v>
      </c>
      <c r="F102" t="s">
        <v>1379</v>
      </c>
      <c r="G102" t="s">
        <v>1381</v>
      </c>
      <c r="H102" t="s">
        <v>1388</v>
      </c>
      <c r="I102" t="s">
        <v>1394</v>
      </c>
      <c r="J102" t="s">
        <v>1398</v>
      </c>
      <c r="K102" t="s">
        <v>1491</v>
      </c>
      <c r="L102">
        <v>86.28</v>
      </c>
      <c r="M102">
        <v>9</v>
      </c>
      <c r="N102">
        <v>0</v>
      </c>
      <c r="O102">
        <v>-3.87</v>
      </c>
    </row>
    <row r="103" spans="1:15" x14ac:dyDescent="0.3">
      <c r="A103" t="s">
        <v>116</v>
      </c>
      <c r="B103" t="s">
        <v>615</v>
      </c>
      <c r="C103" t="s">
        <v>1067</v>
      </c>
      <c r="D103" t="s">
        <v>1368</v>
      </c>
      <c r="E103" t="s">
        <v>1374</v>
      </c>
      <c r="F103" t="s">
        <v>1377</v>
      </c>
      <c r="G103" t="s">
        <v>1383</v>
      </c>
      <c r="H103" t="s">
        <v>1390</v>
      </c>
      <c r="I103" t="s">
        <v>1394</v>
      </c>
      <c r="J103" t="s">
        <v>1403</v>
      </c>
      <c r="K103" t="s">
        <v>1421</v>
      </c>
      <c r="L103">
        <v>704.79</v>
      </c>
      <c r="M103">
        <v>1</v>
      </c>
      <c r="N103">
        <v>0.2</v>
      </c>
      <c r="O103">
        <v>179.39</v>
      </c>
    </row>
    <row r="104" spans="1:15" x14ac:dyDescent="0.3">
      <c r="A104" t="s">
        <v>117</v>
      </c>
      <c r="B104" t="s">
        <v>616</v>
      </c>
      <c r="C104" t="s">
        <v>1068</v>
      </c>
      <c r="D104" t="s">
        <v>1365</v>
      </c>
      <c r="E104" t="s">
        <v>1374</v>
      </c>
      <c r="F104" t="s">
        <v>1378</v>
      </c>
      <c r="G104" t="s">
        <v>1384</v>
      </c>
      <c r="H104" t="s">
        <v>1391</v>
      </c>
      <c r="I104" t="s">
        <v>1394</v>
      </c>
      <c r="J104" t="s">
        <v>1398</v>
      </c>
      <c r="K104" t="s">
        <v>1492</v>
      </c>
      <c r="L104">
        <v>119.51</v>
      </c>
      <c r="M104">
        <v>3</v>
      </c>
      <c r="N104">
        <v>0</v>
      </c>
      <c r="O104">
        <v>-9.1</v>
      </c>
    </row>
    <row r="105" spans="1:15" x14ac:dyDescent="0.3">
      <c r="A105" t="s">
        <v>118</v>
      </c>
      <c r="B105" t="s">
        <v>617</v>
      </c>
      <c r="C105" t="s">
        <v>1069</v>
      </c>
      <c r="D105" t="s">
        <v>1373</v>
      </c>
      <c r="E105" t="s">
        <v>1376</v>
      </c>
      <c r="F105" t="s">
        <v>1378</v>
      </c>
      <c r="G105" t="s">
        <v>1384</v>
      </c>
      <c r="H105" t="s">
        <v>1388</v>
      </c>
      <c r="I105" t="s">
        <v>1394</v>
      </c>
      <c r="J105" t="s">
        <v>1398</v>
      </c>
      <c r="K105" t="s">
        <v>1493</v>
      </c>
      <c r="L105">
        <v>725.51</v>
      </c>
      <c r="M105">
        <v>6</v>
      </c>
      <c r="N105">
        <v>0</v>
      </c>
      <c r="O105">
        <v>-25.51</v>
      </c>
    </row>
    <row r="106" spans="1:15" x14ac:dyDescent="0.3">
      <c r="A106" t="s">
        <v>119</v>
      </c>
      <c r="B106" t="s">
        <v>618</v>
      </c>
      <c r="C106" t="s">
        <v>1070</v>
      </c>
      <c r="D106" t="s">
        <v>1362</v>
      </c>
      <c r="E106" t="s">
        <v>1376</v>
      </c>
      <c r="F106" t="s">
        <v>1379</v>
      </c>
      <c r="G106" t="s">
        <v>1386</v>
      </c>
      <c r="H106" t="s">
        <v>1390</v>
      </c>
      <c r="I106" t="s">
        <v>1394</v>
      </c>
      <c r="J106" t="s">
        <v>1403</v>
      </c>
      <c r="K106" t="s">
        <v>1494</v>
      </c>
      <c r="L106">
        <v>1161.8800000000001</v>
      </c>
      <c r="M106">
        <v>7</v>
      </c>
      <c r="N106">
        <v>0.1</v>
      </c>
      <c r="O106">
        <v>113.31</v>
      </c>
    </row>
    <row r="107" spans="1:15" x14ac:dyDescent="0.3">
      <c r="A107" t="s">
        <v>120</v>
      </c>
      <c r="B107" t="s">
        <v>619</v>
      </c>
      <c r="C107" t="s">
        <v>1071</v>
      </c>
      <c r="D107" t="s">
        <v>1363</v>
      </c>
      <c r="E107" t="s">
        <v>1376</v>
      </c>
      <c r="F107" t="s">
        <v>1377</v>
      </c>
      <c r="G107" t="s">
        <v>1387</v>
      </c>
      <c r="H107" t="s">
        <v>1390</v>
      </c>
      <c r="I107" t="s">
        <v>1392</v>
      </c>
      <c r="J107" t="s">
        <v>1395</v>
      </c>
      <c r="K107" t="s">
        <v>1495</v>
      </c>
      <c r="L107">
        <v>811.14</v>
      </c>
      <c r="M107">
        <v>9</v>
      </c>
      <c r="N107">
        <v>0.15</v>
      </c>
      <c r="O107">
        <v>-154.83000000000001</v>
      </c>
    </row>
    <row r="108" spans="1:15" x14ac:dyDescent="0.3">
      <c r="A108" t="s">
        <v>121</v>
      </c>
      <c r="B108" t="s">
        <v>620</v>
      </c>
      <c r="C108" t="s">
        <v>1011</v>
      </c>
      <c r="D108" t="s">
        <v>1359</v>
      </c>
      <c r="E108" t="s">
        <v>1374</v>
      </c>
      <c r="F108" t="s">
        <v>1377</v>
      </c>
      <c r="G108" t="s">
        <v>1387</v>
      </c>
      <c r="H108" t="s">
        <v>1390</v>
      </c>
      <c r="I108" t="s">
        <v>1394</v>
      </c>
      <c r="J108" t="s">
        <v>1402</v>
      </c>
      <c r="K108" t="s">
        <v>1428</v>
      </c>
      <c r="L108">
        <v>619.07000000000005</v>
      </c>
      <c r="M108">
        <v>9</v>
      </c>
      <c r="O108">
        <v>-112.13</v>
      </c>
    </row>
    <row r="109" spans="1:15" x14ac:dyDescent="0.3">
      <c r="A109" t="s">
        <v>122</v>
      </c>
      <c r="B109" t="s">
        <v>621</v>
      </c>
      <c r="C109" t="s">
        <v>1072</v>
      </c>
      <c r="D109" t="s">
        <v>1365</v>
      </c>
      <c r="E109" t="s">
        <v>1376</v>
      </c>
      <c r="F109" t="s">
        <v>1377</v>
      </c>
      <c r="G109" t="s">
        <v>1387</v>
      </c>
      <c r="H109" t="s">
        <v>1390</v>
      </c>
      <c r="I109" t="s">
        <v>1392</v>
      </c>
      <c r="J109" t="s">
        <v>1395</v>
      </c>
      <c r="K109" t="s">
        <v>1496</v>
      </c>
      <c r="L109">
        <v>536.45000000000005</v>
      </c>
      <c r="M109">
        <v>7</v>
      </c>
      <c r="N109">
        <v>0.15</v>
      </c>
      <c r="O109">
        <v>74.13</v>
      </c>
    </row>
    <row r="110" spans="1:15" x14ac:dyDescent="0.3">
      <c r="A110" t="s">
        <v>123</v>
      </c>
      <c r="B110" t="s">
        <v>622</v>
      </c>
      <c r="C110" t="s">
        <v>1073</v>
      </c>
      <c r="D110" t="s">
        <v>1365</v>
      </c>
      <c r="E110" t="s">
        <v>1374</v>
      </c>
      <c r="F110" t="s">
        <v>1377</v>
      </c>
      <c r="G110" t="s">
        <v>1387</v>
      </c>
      <c r="H110" t="s">
        <v>1390</v>
      </c>
      <c r="I110" t="s">
        <v>1392</v>
      </c>
      <c r="J110" t="s">
        <v>1397</v>
      </c>
      <c r="K110" t="s">
        <v>1497</v>
      </c>
      <c r="L110">
        <v>820.4</v>
      </c>
      <c r="M110">
        <v>10</v>
      </c>
      <c r="N110">
        <v>0.2</v>
      </c>
      <c r="O110">
        <v>25.3</v>
      </c>
    </row>
    <row r="111" spans="1:15" x14ac:dyDescent="0.3">
      <c r="A111" t="s">
        <v>124</v>
      </c>
      <c r="B111" t="s">
        <v>623</v>
      </c>
      <c r="C111" t="s">
        <v>1074</v>
      </c>
      <c r="D111" t="s">
        <v>1359</v>
      </c>
      <c r="E111" t="s">
        <v>1376</v>
      </c>
      <c r="F111" t="s">
        <v>1380</v>
      </c>
      <c r="G111" t="s">
        <v>1386</v>
      </c>
      <c r="H111" t="s">
        <v>1390</v>
      </c>
      <c r="I111" t="s">
        <v>1392</v>
      </c>
      <c r="J111" t="s">
        <v>1395</v>
      </c>
      <c r="K111" t="s">
        <v>1475</v>
      </c>
      <c r="L111">
        <v>587.1</v>
      </c>
      <c r="M111">
        <v>6</v>
      </c>
      <c r="O111">
        <v>156.84</v>
      </c>
    </row>
    <row r="112" spans="1:15" x14ac:dyDescent="0.3">
      <c r="A112" t="s">
        <v>125</v>
      </c>
      <c r="B112" t="s">
        <v>624</v>
      </c>
      <c r="C112" t="s">
        <v>1075</v>
      </c>
      <c r="D112" t="s">
        <v>1367</v>
      </c>
      <c r="E112" t="s">
        <v>1376</v>
      </c>
      <c r="F112" t="s">
        <v>1379</v>
      </c>
      <c r="G112" t="s">
        <v>1387</v>
      </c>
      <c r="H112" t="s">
        <v>1389</v>
      </c>
      <c r="I112" t="s">
        <v>1392</v>
      </c>
      <c r="J112" t="s">
        <v>1397</v>
      </c>
      <c r="K112" t="s">
        <v>1498</v>
      </c>
      <c r="L112">
        <v>128.22</v>
      </c>
      <c r="M112">
        <v>4</v>
      </c>
      <c r="N112">
        <v>0.2</v>
      </c>
      <c r="O112">
        <v>31.07</v>
      </c>
    </row>
    <row r="113" spans="1:15" x14ac:dyDescent="0.3">
      <c r="A113" t="s">
        <v>126</v>
      </c>
      <c r="B113" t="s">
        <v>625</v>
      </c>
      <c r="C113" t="s">
        <v>1076</v>
      </c>
      <c r="D113" t="s">
        <v>1365</v>
      </c>
      <c r="E113" t="s">
        <v>1375</v>
      </c>
      <c r="F113" t="s">
        <v>1377</v>
      </c>
      <c r="G113" t="s">
        <v>1385</v>
      </c>
      <c r="H113" t="s">
        <v>1388</v>
      </c>
      <c r="I113" t="s">
        <v>1392</v>
      </c>
      <c r="J113" t="s">
        <v>1397</v>
      </c>
      <c r="K113" t="s">
        <v>1498</v>
      </c>
      <c r="L113">
        <v>1118.3699999999999</v>
      </c>
      <c r="M113">
        <v>6</v>
      </c>
      <c r="N113">
        <v>0.1</v>
      </c>
      <c r="O113">
        <v>-146.72999999999999</v>
      </c>
    </row>
    <row r="114" spans="1:15" x14ac:dyDescent="0.3">
      <c r="A114" t="s">
        <v>127</v>
      </c>
      <c r="B114" t="s">
        <v>626</v>
      </c>
      <c r="C114" t="s">
        <v>1077</v>
      </c>
      <c r="D114" t="s">
        <v>1368</v>
      </c>
      <c r="E114" t="s">
        <v>1375</v>
      </c>
      <c r="F114" t="s">
        <v>1380</v>
      </c>
      <c r="G114" t="s">
        <v>1387</v>
      </c>
      <c r="H114" t="s">
        <v>1389</v>
      </c>
      <c r="I114" t="s">
        <v>1392</v>
      </c>
      <c r="J114" t="s">
        <v>1401</v>
      </c>
      <c r="K114" t="s">
        <v>1499</v>
      </c>
      <c r="L114">
        <v>667.59</v>
      </c>
      <c r="M114">
        <v>10</v>
      </c>
      <c r="O114">
        <v>7.76</v>
      </c>
    </row>
    <row r="115" spans="1:15" x14ac:dyDescent="0.3">
      <c r="A115" t="s">
        <v>128</v>
      </c>
      <c r="B115" t="s">
        <v>627</v>
      </c>
      <c r="C115" t="s">
        <v>1078</v>
      </c>
      <c r="D115" t="s">
        <v>1364</v>
      </c>
      <c r="E115" t="s">
        <v>1375</v>
      </c>
      <c r="F115" t="s">
        <v>1378</v>
      </c>
      <c r="G115" t="s">
        <v>1384</v>
      </c>
      <c r="H115" t="s">
        <v>1389</v>
      </c>
      <c r="I115" t="s">
        <v>1394</v>
      </c>
      <c r="J115" t="s">
        <v>1402</v>
      </c>
      <c r="K115" t="s">
        <v>1500</v>
      </c>
      <c r="L115">
        <v>150.81</v>
      </c>
      <c r="M115">
        <v>8</v>
      </c>
      <c r="O115">
        <v>10.26</v>
      </c>
    </row>
    <row r="116" spans="1:15" x14ac:dyDescent="0.3">
      <c r="A116" t="s">
        <v>129</v>
      </c>
      <c r="B116" t="s">
        <v>628</v>
      </c>
      <c r="C116" t="s">
        <v>1079</v>
      </c>
      <c r="D116" t="s">
        <v>1364</v>
      </c>
      <c r="E116" t="s">
        <v>1374</v>
      </c>
      <c r="F116" t="s">
        <v>1380</v>
      </c>
      <c r="G116" t="s">
        <v>1385</v>
      </c>
      <c r="H116" t="s">
        <v>1389</v>
      </c>
      <c r="I116" t="s">
        <v>1392</v>
      </c>
      <c r="J116" t="s">
        <v>1395</v>
      </c>
      <c r="K116" t="s">
        <v>1501</v>
      </c>
      <c r="L116">
        <v>511.55</v>
      </c>
      <c r="M116">
        <v>2</v>
      </c>
      <c r="O116">
        <v>146.97999999999999</v>
      </c>
    </row>
    <row r="117" spans="1:15" x14ac:dyDescent="0.3">
      <c r="A117" t="s">
        <v>130</v>
      </c>
      <c r="B117" t="s">
        <v>560</v>
      </c>
      <c r="C117" t="s">
        <v>1080</v>
      </c>
      <c r="D117" t="s">
        <v>1361</v>
      </c>
      <c r="E117" t="s">
        <v>1374</v>
      </c>
      <c r="F117" t="s">
        <v>1379</v>
      </c>
      <c r="G117" t="s">
        <v>1387</v>
      </c>
      <c r="H117" t="s">
        <v>1388</v>
      </c>
      <c r="I117" t="s">
        <v>1394</v>
      </c>
      <c r="J117" t="s">
        <v>1403</v>
      </c>
      <c r="K117" t="s">
        <v>1502</v>
      </c>
      <c r="L117">
        <v>901.83</v>
      </c>
      <c r="M117">
        <v>6</v>
      </c>
      <c r="N117">
        <v>0</v>
      </c>
      <c r="O117">
        <v>-24.89</v>
      </c>
    </row>
    <row r="118" spans="1:15" x14ac:dyDescent="0.3">
      <c r="A118" t="s">
        <v>131</v>
      </c>
      <c r="B118" t="s">
        <v>629</v>
      </c>
      <c r="C118" t="s">
        <v>1081</v>
      </c>
      <c r="D118" t="s">
        <v>1361</v>
      </c>
      <c r="E118" t="s">
        <v>1376</v>
      </c>
      <c r="F118" t="s">
        <v>1380</v>
      </c>
      <c r="G118" t="s">
        <v>1384</v>
      </c>
      <c r="H118" t="s">
        <v>1390</v>
      </c>
      <c r="I118" t="s">
        <v>1393</v>
      </c>
      <c r="J118" t="s">
        <v>1400</v>
      </c>
      <c r="K118" t="s">
        <v>1503</v>
      </c>
      <c r="L118">
        <v>999.85</v>
      </c>
      <c r="M118">
        <v>8</v>
      </c>
      <c r="N118">
        <v>0.2</v>
      </c>
      <c r="O118">
        <v>115.85</v>
      </c>
    </row>
    <row r="119" spans="1:15" x14ac:dyDescent="0.3">
      <c r="A119" t="s">
        <v>132</v>
      </c>
      <c r="B119" t="s">
        <v>630</v>
      </c>
      <c r="C119" t="s">
        <v>1082</v>
      </c>
      <c r="D119" t="s">
        <v>1373</v>
      </c>
      <c r="E119" t="s">
        <v>1375</v>
      </c>
      <c r="F119" t="s">
        <v>1378</v>
      </c>
      <c r="G119" t="s">
        <v>1384</v>
      </c>
      <c r="H119" t="s">
        <v>1391</v>
      </c>
      <c r="I119" t="s">
        <v>1392</v>
      </c>
      <c r="J119" t="s">
        <v>1397</v>
      </c>
      <c r="K119" t="s">
        <v>1504</v>
      </c>
      <c r="L119">
        <v>1121.3800000000001</v>
      </c>
      <c r="M119">
        <v>9</v>
      </c>
      <c r="N119">
        <v>0.2</v>
      </c>
      <c r="O119">
        <v>330.32</v>
      </c>
    </row>
    <row r="120" spans="1:15" x14ac:dyDescent="0.3">
      <c r="A120" t="s">
        <v>133</v>
      </c>
      <c r="B120" t="s">
        <v>631</v>
      </c>
      <c r="C120" t="s">
        <v>1083</v>
      </c>
      <c r="D120" t="s">
        <v>1371</v>
      </c>
      <c r="E120" t="s">
        <v>1376</v>
      </c>
      <c r="F120" t="s">
        <v>1377</v>
      </c>
      <c r="G120" t="s">
        <v>1384</v>
      </c>
      <c r="H120" t="s">
        <v>1391</v>
      </c>
      <c r="I120" t="s">
        <v>1394</v>
      </c>
      <c r="J120" t="s">
        <v>1402</v>
      </c>
      <c r="K120" t="s">
        <v>1505</v>
      </c>
      <c r="L120">
        <v>963.22</v>
      </c>
      <c r="M120">
        <v>7</v>
      </c>
      <c r="N120">
        <v>0.2</v>
      </c>
      <c r="O120">
        <v>165.34</v>
      </c>
    </row>
    <row r="121" spans="1:15" x14ac:dyDescent="0.3">
      <c r="A121" t="s">
        <v>134</v>
      </c>
      <c r="B121" t="s">
        <v>632</v>
      </c>
      <c r="C121" t="s">
        <v>1019</v>
      </c>
      <c r="D121" t="s">
        <v>1366</v>
      </c>
      <c r="E121" t="s">
        <v>1374</v>
      </c>
      <c r="F121" t="s">
        <v>1379</v>
      </c>
      <c r="G121" t="s">
        <v>1384</v>
      </c>
      <c r="H121" t="s">
        <v>1389</v>
      </c>
      <c r="I121" t="s">
        <v>1392</v>
      </c>
      <c r="J121" t="s">
        <v>1397</v>
      </c>
      <c r="K121" t="s">
        <v>1497</v>
      </c>
      <c r="L121">
        <v>730.89</v>
      </c>
      <c r="M121">
        <v>3</v>
      </c>
      <c r="O121">
        <v>-38.82</v>
      </c>
    </row>
    <row r="122" spans="1:15" x14ac:dyDescent="0.3">
      <c r="A122" t="s">
        <v>135</v>
      </c>
      <c r="B122" t="s">
        <v>633</v>
      </c>
      <c r="C122" t="s">
        <v>1084</v>
      </c>
      <c r="D122" t="s">
        <v>1360</v>
      </c>
      <c r="E122" t="s">
        <v>1376</v>
      </c>
      <c r="F122" t="s">
        <v>1380</v>
      </c>
      <c r="G122" t="s">
        <v>1381</v>
      </c>
      <c r="H122" t="s">
        <v>1389</v>
      </c>
      <c r="I122" t="s">
        <v>1392</v>
      </c>
      <c r="J122" t="s">
        <v>1395</v>
      </c>
      <c r="K122" t="s">
        <v>1410</v>
      </c>
      <c r="L122">
        <v>543.80999999999995</v>
      </c>
      <c r="M122">
        <v>8</v>
      </c>
      <c r="N122">
        <v>0</v>
      </c>
      <c r="O122">
        <v>88.86</v>
      </c>
    </row>
    <row r="123" spans="1:15" x14ac:dyDescent="0.3">
      <c r="A123" t="s">
        <v>136</v>
      </c>
      <c r="B123" t="s">
        <v>634</v>
      </c>
      <c r="C123" t="s">
        <v>1085</v>
      </c>
      <c r="D123" t="s">
        <v>1372</v>
      </c>
      <c r="E123" t="s">
        <v>1376</v>
      </c>
      <c r="F123" t="s">
        <v>1380</v>
      </c>
      <c r="G123" t="s">
        <v>1383</v>
      </c>
      <c r="H123" t="s">
        <v>1390</v>
      </c>
      <c r="I123" t="s">
        <v>1392</v>
      </c>
      <c r="J123" t="s">
        <v>1401</v>
      </c>
      <c r="K123" t="s">
        <v>1473</v>
      </c>
      <c r="L123">
        <v>1021.43</v>
      </c>
      <c r="M123">
        <v>8</v>
      </c>
      <c r="N123">
        <v>0</v>
      </c>
      <c r="O123">
        <v>-139.82</v>
      </c>
    </row>
    <row r="124" spans="1:15" x14ac:dyDescent="0.3">
      <c r="A124" t="s">
        <v>137</v>
      </c>
      <c r="B124" t="s">
        <v>635</v>
      </c>
      <c r="C124" t="s">
        <v>1086</v>
      </c>
      <c r="D124" t="s">
        <v>1362</v>
      </c>
      <c r="E124" t="s">
        <v>1376</v>
      </c>
      <c r="F124" t="s">
        <v>1378</v>
      </c>
      <c r="G124" t="s">
        <v>1381</v>
      </c>
      <c r="H124" t="s">
        <v>1388</v>
      </c>
      <c r="I124" t="s">
        <v>1394</v>
      </c>
      <c r="J124" t="s">
        <v>1403</v>
      </c>
      <c r="K124" t="s">
        <v>1506</v>
      </c>
      <c r="L124">
        <v>920.44</v>
      </c>
      <c r="M124">
        <v>10</v>
      </c>
      <c r="N124">
        <v>0.1</v>
      </c>
      <c r="O124">
        <v>59.58</v>
      </c>
    </row>
    <row r="125" spans="1:15" x14ac:dyDescent="0.3">
      <c r="A125" t="s">
        <v>138</v>
      </c>
      <c r="B125" t="s">
        <v>636</v>
      </c>
      <c r="C125" t="s">
        <v>1087</v>
      </c>
      <c r="D125" t="s">
        <v>1367</v>
      </c>
      <c r="E125" t="s">
        <v>1374</v>
      </c>
      <c r="F125" t="s">
        <v>1379</v>
      </c>
      <c r="G125" t="s">
        <v>1382</v>
      </c>
      <c r="H125" t="s">
        <v>1389</v>
      </c>
      <c r="I125" t="s">
        <v>1393</v>
      </c>
      <c r="J125" t="s">
        <v>1399</v>
      </c>
      <c r="K125" t="s">
        <v>1507</v>
      </c>
      <c r="L125">
        <v>1097.98</v>
      </c>
      <c r="M125">
        <v>2</v>
      </c>
      <c r="N125">
        <v>0.15</v>
      </c>
      <c r="O125">
        <v>205.85</v>
      </c>
    </row>
    <row r="126" spans="1:15" x14ac:dyDescent="0.3">
      <c r="A126" t="s">
        <v>139</v>
      </c>
      <c r="B126" t="s">
        <v>637</v>
      </c>
      <c r="C126" t="s">
        <v>1088</v>
      </c>
      <c r="D126" t="s">
        <v>1362</v>
      </c>
      <c r="E126" t="s">
        <v>1375</v>
      </c>
      <c r="F126" t="s">
        <v>1379</v>
      </c>
      <c r="G126" t="s">
        <v>1384</v>
      </c>
      <c r="H126" t="s">
        <v>1390</v>
      </c>
      <c r="I126" t="s">
        <v>1392</v>
      </c>
      <c r="J126" t="s">
        <v>1397</v>
      </c>
      <c r="K126" t="s">
        <v>1508</v>
      </c>
      <c r="L126">
        <v>223.73</v>
      </c>
      <c r="M126">
        <v>8</v>
      </c>
      <c r="N126">
        <v>0</v>
      </c>
      <c r="O126">
        <v>45.92</v>
      </c>
    </row>
    <row r="127" spans="1:15" x14ac:dyDescent="0.3">
      <c r="A127" t="s">
        <v>140</v>
      </c>
      <c r="B127" t="s">
        <v>638</v>
      </c>
      <c r="C127" t="s">
        <v>1089</v>
      </c>
      <c r="D127" t="s">
        <v>1366</v>
      </c>
      <c r="E127" t="s">
        <v>1374</v>
      </c>
      <c r="F127" t="s">
        <v>1379</v>
      </c>
      <c r="G127" t="s">
        <v>1385</v>
      </c>
      <c r="H127" t="s">
        <v>1390</v>
      </c>
      <c r="I127" t="s">
        <v>1394</v>
      </c>
      <c r="J127" t="s">
        <v>1398</v>
      </c>
      <c r="K127" t="s">
        <v>1491</v>
      </c>
      <c r="L127">
        <v>284.61</v>
      </c>
      <c r="M127">
        <v>4</v>
      </c>
      <c r="N127">
        <v>0.1</v>
      </c>
      <c r="O127">
        <v>-23.23</v>
      </c>
    </row>
    <row r="128" spans="1:15" x14ac:dyDescent="0.3">
      <c r="A128" t="s">
        <v>141</v>
      </c>
      <c r="B128" t="s">
        <v>639</v>
      </c>
      <c r="C128" t="s">
        <v>1090</v>
      </c>
      <c r="D128" t="s">
        <v>1359</v>
      </c>
      <c r="E128" t="s">
        <v>1375</v>
      </c>
      <c r="F128" t="s">
        <v>1379</v>
      </c>
      <c r="G128" t="s">
        <v>1382</v>
      </c>
      <c r="H128" t="s">
        <v>1388</v>
      </c>
      <c r="I128" t="s">
        <v>1394</v>
      </c>
      <c r="J128" t="s">
        <v>1403</v>
      </c>
      <c r="K128" t="s">
        <v>1509</v>
      </c>
      <c r="L128">
        <v>1199.52</v>
      </c>
      <c r="M128">
        <v>8</v>
      </c>
      <c r="O128">
        <v>6.47</v>
      </c>
    </row>
    <row r="129" spans="1:15" x14ac:dyDescent="0.3">
      <c r="A129" t="s">
        <v>142</v>
      </c>
      <c r="B129" t="s">
        <v>640</v>
      </c>
      <c r="C129" t="s">
        <v>1091</v>
      </c>
      <c r="D129" t="s">
        <v>1365</v>
      </c>
      <c r="E129" t="s">
        <v>1375</v>
      </c>
      <c r="F129" t="s">
        <v>1380</v>
      </c>
      <c r="G129" t="s">
        <v>1383</v>
      </c>
      <c r="H129" t="s">
        <v>1390</v>
      </c>
      <c r="I129" t="s">
        <v>1394</v>
      </c>
      <c r="J129" t="s">
        <v>1402</v>
      </c>
      <c r="K129" t="s">
        <v>1510</v>
      </c>
      <c r="L129">
        <v>1055.99</v>
      </c>
      <c r="M129">
        <v>9</v>
      </c>
      <c r="O129">
        <v>-115.12</v>
      </c>
    </row>
    <row r="130" spans="1:15" x14ac:dyDescent="0.3">
      <c r="A130" t="s">
        <v>143</v>
      </c>
      <c r="B130" t="s">
        <v>641</v>
      </c>
      <c r="C130" t="s">
        <v>1092</v>
      </c>
      <c r="D130" t="s">
        <v>1370</v>
      </c>
      <c r="E130" t="s">
        <v>1374</v>
      </c>
      <c r="F130" t="s">
        <v>1379</v>
      </c>
      <c r="G130" t="s">
        <v>1387</v>
      </c>
      <c r="H130" t="s">
        <v>1391</v>
      </c>
      <c r="I130" t="s">
        <v>1394</v>
      </c>
      <c r="J130" t="s">
        <v>1398</v>
      </c>
      <c r="K130" t="s">
        <v>1491</v>
      </c>
      <c r="L130">
        <v>286.05</v>
      </c>
      <c r="M130">
        <v>9</v>
      </c>
      <c r="N130">
        <v>0.15</v>
      </c>
      <c r="O130">
        <v>63.78</v>
      </c>
    </row>
    <row r="131" spans="1:15" x14ac:dyDescent="0.3">
      <c r="A131" t="s">
        <v>144</v>
      </c>
      <c r="B131" t="s">
        <v>642</v>
      </c>
      <c r="C131" t="s">
        <v>1093</v>
      </c>
      <c r="D131" t="s">
        <v>1360</v>
      </c>
      <c r="E131" t="s">
        <v>1374</v>
      </c>
      <c r="F131" t="s">
        <v>1380</v>
      </c>
      <c r="G131" t="s">
        <v>1386</v>
      </c>
      <c r="H131" t="s">
        <v>1388</v>
      </c>
      <c r="I131" t="s">
        <v>1393</v>
      </c>
      <c r="J131" t="s">
        <v>1396</v>
      </c>
      <c r="K131" t="s">
        <v>1511</v>
      </c>
      <c r="L131">
        <v>218.99</v>
      </c>
      <c r="M131">
        <v>10</v>
      </c>
      <c r="N131">
        <v>0.1</v>
      </c>
      <c r="O131">
        <v>-25.05</v>
      </c>
    </row>
    <row r="132" spans="1:15" x14ac:dyDescent="0.3">
      <c r="A132" t="s">
        <v>145</v>
      </c>
      <c r="B132" t="s">
        <v>643</v>
      </c>
      <c r="C132" t="s">
        <v>1094</v>
      </c>
      <c r="D132" t="s">
        <v>1365</v>
      </c>
      <c r="E132" t="s">
        <v>1374</v>
      </c>
      <c r="F132" t="s">
        <v>1379</v>
      </c>
      <c r="G132" t="s">
        <v>1382</v>
      </c>
      <c r="H132" t="s">
        <v>1391</v>
      </c>
      <c r="I132" t="s">
        <v>1394</v>
      </c>
      <c r="J132" t="s">
        <v>1398</v>
      </c>
      <c r="K132" t="s">
        <v>1490</v>
      </c>
      <c r="L132">
        <v>268.75</v>
      </c>
      <c r="M132">
        <v>10</v>
      </c>
      <c r="N132">
        <v>0.2</v>
      </c>
      <c r="O132">
        <v>29.31</v>
      </c>
    </row>
    <row r="133" spans="1:15" x14ac:dyDescent="0.3">
      <c r="A133" t="s">
        <v>146</v>
      </c>
      <c r="B133" t="s">
        <v>644</v>
      </c>
      <c r="C133" t="s">
        <v>1095</v>
      </c>
      <c r="D133" t="s">
        <v>1367</v>
      </c>
      <c r="E133" t="s">
        <v>1376</v>
      </c>
      <c r="F133" t="s">
        <v>1378</v>
      </c>
      <c r="G133" t="s">
        <v>1384</v>
      </c>
      <c r="H133" t="s">
        <v>1391</v>
      </c>
      <c r="I133" t="s">
        <v>1394</v>
      </c>
      <c r="J133" t="s">
        <v>1403</v>
      </c>
      <c r="K133" t="s">
        <v>1512</v>
      </c>
      <c r="L133">
        <v>106.11</v>
      </c>
      <c r="M133">
        <v>1</v>
      </c>
      <c r="N133">
        <v>0.1</v>
      </c>
      <c r="O133">
        <v>2.1</v>
      </c>
    </row>
    <row r="134" spans="1:15" x14ac:dyDescent="0.3">
      <c r="A134" t="s">
        <v>147</v>
      </c>
      <c r="B134" t="s">
        <v>645</v>
      </c>
      <c r="C134" t="s">
        <v>1096</v>
      </c>
      <c r="D134" t="s">
        <v>1367</v>
      </c>
      <c r="E134" t="s">
        <v>1376</v>
      </c>
      <c r="F134" t="s">
        <v>1377</v>
      </c>
      <c r="G134" t="s">
        <v>1387</v>
      </c>
      <c r="H134" t="s">
        <v>1390</v>
      </c>
      <c r="I134" t="s">
        <v>1394</v>
      </c>
      <c r="J134" t="s">
        <v>1402</v>
      </c>
      <c r="K134" t="s">
        <v>1513</v>
      </c>
      <c r="L134">
        <v>917.58</v>
      </c>
      <c r="M134">
        <v>9</v>
      </c>
      <c r="O134">
        <v>-134.80000000000001</v>
      </c>
    </row>
    <row r="135" spans="1:15" x14ac:dyDescent="0.3">
      <c r="A135" t="s">
        <v>148</v>
      </c>
      <c r="B135" t="s">
        <v>533</v>
      </c>
      <c r="C135" t="s">
        <v>1094</v>
      </c>
      <c r="D135" t="s">
        <v>1371</v>
      </c>
      <c r="E135" t="s">
        <v>1375</v>
      </c>
      <c r="F135" t="s">
        <v>1377</v>
      </c>
      <c r="G135" t="s">
        <v>1383</v>
      </c>
      <c r="H135" t="s">
        <v>1389</v>
      </c>
      <c r="I135" t="s">
        <v>1394</v>
      </c>
      <c r="J135" t="s">
        <v>1398</v>
      </c>
      <c r="K135" t="s">
        <v>1440</v>
      </c>
      <c r="L135">
        <v>513.4</v>
      </c>
      <c r="M135">
        <v>3</v>
      </c>
      <c r="N135">
        <v>0.15</v>
      </c>
      <c r="O135">
        <v>137.01</v>
      </c>
    </row>
    <row r="136" spans="1:15" x14ac:dyDescent="0.3">
      <c r="A136" t="s">
        <v>149</v>
      </c>
      <c r="B136" t="s">
        <v>646</v>
      </c>
      <c r="C136" t="s">
        <v>1097</v>
      </c>
      <c r="D136" t="s">
        <v>1370</v>
      </c>
      <c r="E136" t="s">
        <v>1376</v>
      </c>
      <c r="F136" t="s">
        <v>1380</v>
      </c>
      <c r="G136" t="s">
        <v>1381</v>
      </c>
      <c r="H136" t="s">
        <v>1391</v>
      </c>
      <c r="I136" t="s">
        <v>1394</v>
      </c>
      <c r="J136" t="s">
        <v>1402</v>
      </c>
      <c r="K136" t="s">
        <v>1514</v>
      </c>
      <c r="L136">
        <v>126.26</v>
      </c>
      <c r="M136">
        <v>7</v>
      </c>
      <c r="O136">
        <v>3.61</v>
      </c>
    </row>
    <row r="137" spans="1:15" x14ac:dyDescent="0.3">
      <c r="A137" t="s">
        <v>150</v>
      </c>
      <c r="B137" t="s">
        <v>647</v>
      </c>
      <c r="C137" t="s">
        <v>1055</v>
      </c>
      <c r="D137" t="s">
        <v>1372</v>
      </c>
      <c r="E137" t="s">
        <v>1376</v>
      </c>
      <c r="F137" t="s">
        <v>1380</v>
      </c>
      <c r="G137" t="s">
        <v>1385</v>
      </c>
      <c r="H137" t="s">
        <v>1388</v>
      </c>
      <c r="I137" t="s">
        <v>1394</v>
      </c>
      <c r="J137" t="s">
        <v>1398</v>
      </c>
      <c r="K137" t="s">
        <v>1515</v>
      </c>
      <c r="L137">
        <v>29.65</v>
      </c>
      <c r="M137">
        <v>2</v>
      </c>
      <c r="N137">
        <v>0.2</v>
      </c>
      <c r="O137">
        <v>-3.94</v>
      </c>
    </row>
    <row r="138" spans="1:15" x14ac:dyDescent="0.3">
      <c r="A138" t="s">
        <v>151</v>
      </c>
      <c r="B138" t="s">
        <v>648</v>
      </c>
      <c r="C138" t="s">
        <v>1098</v>
      </c>
      <c r="D138" t="s">
        <v>1362</v>
      </c>
      <c r="E138" t="s">
        <v>1374</v>
      </c>
      <c r="F138" t="s">
        <v>1380</v>
      </c>
      <c r="G138" t="s">
        <v>1387</v>
      </c>
      <c r="H138" t="s">
        <v>1388</v>
      </c>
      <c r="I138" t="s">
        <v>1394</v>
      </c>
      <c r="J138" t="s">
        <v>1398</v>
      </c>
      <c r="K138" t="s">
        <v>1422</v>
      </c>
      <c r="L138">
        <v>360.55</v>
      </c>
      <c r="M138">
        <v>7</v>
      </c>
      <c r="O138">
        <v>9.08</v>
      </c>
    </row>
    <row r="139" spans="1:15" x14ac:dyDescent="0.3">
      <c r="A139" t="s">
        <v>152</v>
      </c>
      <c r="B139" t="s">
        <v>649</v>
      </c>
      <c r="C139" t="s">
        <v>1099</v>
      </c>
      <c r="D139" t="s">
        <v>1369</v>
      </c>
      <c r="E139" t="s">
        <v>1375</v>
      </c>
      <c r="F139" t="s">
        <v>1378</v>
      </c>
      <c r="G139" t="s">
        <v>1382</v>
      </c>
      <c r="H139" t="s">
        <v>1391</v>
      </c>
      <c r="I139" t="s">
        <v>1393</v>
      </c>
      <c r="J139" t="s">
        <v>1399</v>
      </c>
      <c r="K139" t="s">
        <v>1516</v>
      </c>
      <c r="L139">
        <v>910.86</v>
      </c>
      <c r="M139">
        <v>4</v>
      </c>
      <c r="O139">
        <v>49.7</v>
      </c>
    </row>
    <row r="140" spans="1:15" x14ac:dyDescent="0.3">
      <c r="A140" t="s">
        <v>153</v>
      </c>
      <c r="B140" t="s">
        <v>650</v>
      </c>
      <c r="C140" t="s">
        <v>1100</v>
      </c>
      <c r="D140" t="s">
        <v>1368</v>
      </c>
      <c r="E140" t="s">
        <v>1374</v>
      </c>
      <c r="F140" t="s">
        <v>1379</v>
      </c>
      <c r="G140" t="s">
        <v>1383</v>
      </c>
      <c r="H140" t="s">
        <v>1391</v>
      </c>
      <c r="I140" t="s">
        <v>1392</v>
      </c>
      <c r="J140" t="s">
        <v>1395</v>
      </c>
      <c r="K140" t="s">
        <v>1424</v>
      </c>
      <c r="L140">
        <v>1073.9000000000001</v>
      </c>
      <c r="M140">
        <v>3</v>
      </c>
      <c r="N140">
        <v>0.15</v>
      </c>
      <c r="O140">
        <v>285.32</v>
      </c>
    </row>
    <row r="141" spans="1:15" x14ac:dyDescent="0.3">
      <c r="A141" t="s">
        <v>154</v>
      </c>
      <c r="B141" t="s">
        <v>651</v>
      </c>
      <c r="C141" t="s">
        <v>1101</v>
      </c>
      <c r="D141" t="s">
        <v>1362</v>
      </c>
      <c r="E141" t="s">
        <v>1375</v>
      </c>
      <c r="F141" t="s">
        <v>1377</v>
      </c>
      <c r="G141" t="s">
        <v>1383</v>
      </c>
      <c r="H141" t="s">
        <v>1391</v>
      </c>
      <c r="I141" t="s">
        <v>1393</v>
      </c>
      <c r="J141" t="s">
        <v>1399</v>
      </c>
      <c r="K141" t="s">
        <v>1517</v>
      </c>
      <c r="L141">
        <v>856.31</v>
      </c>
      <c r="M141">
        <v>5</v>
      </c>
      <c r="N141">
        <v>0.2</v>
      </c>
      <c r="O141">
        <v>178</v>
      </c>
    </row>
    <row r="142" spans="1:15" x14ac:dyDescent="0.3">
      <c r="A142" t="s">
        <v>155</v>
      </c>
      <c r="B142" t="s">
        <v>652</v>
      </c>
      <c r="C142" t="s">
        <v>1102</v>
      </c>
      <c r="D142" t="s">
        <v>1360</v>
      </c>
      <c r="E142" t="s">
        <v>1375</v>
      </c>
      <c r="F142" t="s">
        <v>1377</v>
      </c>
      <c r="G142" t="s">
        <v>1387</v>
      </c>
      <c r="H142" t="s">
        <v>1390</v>
      </c>
      <c r="I142" t="s">
        <v>1393</v>
      </c>
      <c r="J142" t="s">
        <v>1399</v>
      </c>
      <c r="K142" t="s">
        <v>1518</v>
      </c>
      <c r="L142">
        <v>333.33</v>
      </c>
      <c r="M142">
        <v>10</v>
      </c>
      <c r="O142">
        <v>-28.74</v>
      </c>
    </row>
    <row r="143" spans="1:15" x14ac:dyDescent="0.3">
      <c r="A143" t="s">
        <v>156</v>
      </c>
      <c r="B143" t="s">
        <v>653</v>
      </c>
      <c r="C143" t="s">
        <v>1103</v>
      </c>
      <c r="D143" t="s">
        <v>1365</v>
      </c>
      <c r="E143" t="s">
        <v>1374</v>
      </c>
      <c r="F143" t="s">
        <v>1377</v>
      </c>
      <c r="G143" t="s">
        <v>1386</v>
      </c>
      <c r="H143" t="s">
        <v>1388</v>
      </c>
      <c r="I143" t="s">
        <v>1392</v>
      </c>
      <c r="J143" t="s">
        <v>1401</v>
      </c>
      <c r="K143" t="s">
        <v>1519</v>
      </c>
      <c r="L143">
        <v>540.42999999999995</v>
      </c>
      <c r="M143">
        <v>7</v>
      </c>
      <c r="N143">
        <v>0.1</v>
      </c>
      <c r="O143">
        <v>3.5</v>
      </c>
    </row>
    <row r="144" spans="1:15" x14ac:dyDescent="0.3">
      <c r="A144" t="s">
        <v>157</v>
      </c>
      <c r="B144" t="s">
        <v>654</v>
      </c>
      <c r="C144" t="s">
        <v>1104</v>
      </c>
      <c r="D144" t="s">
        <v>1365</v>
      </c>
      <c r="E144" t="s">
        <v>1376</v>
      </c>
      <c r="F144" t="s">
        <v>1379</v>
      </c>
      <c r="G144" t="s">
        <v>1382</v>
      </c>
      <c r="H144" t="s">
        <v>1391</v>
      </c>
      <c r="I144" t="s">
        <v>1392</v>
      </c>
      <c r="J144" t="s">
        <v>1395</v>
      </c>
      <c r="K144" t="s">
        <v>1520</v>
      </c>
      <c r="L144">
        <v>403.56</v>
      </c>
      <c r="M144">
        <v>8</v>
      </c>
      <c r="O144">
        <v>-4.68</v>
      </c>
    </row>
    <row r="145" spans="1:15" x14ac:dyDescent="0.3">
      <c r="A145" t="s">
        <v>158</v>
      </c>
      <c r="B145" t="s">
        <v>655</v>
      </c>
      <c r="C145" t="s">
        <v>1105</v>
      </c>
      <c r="D145" t="s">
        <v>1370</v>
      </c>
      <c r="E145" t="s">
        <v>1374</v>
      </c>
      <c r="F145" t="s">
        <v>1377</v>
      </c>
      <c r="G145" t="s">
        <v>1384</v>
      </c>
      <c r="H145" t="s">
        <v>1389</v>
      </c>
      <c r="I145" t="s">
        <v>1392</v>
      </c>
      <c r="J145" t="s">
        <v>1397</v>
      </c>
      <c r="K145" t="s">
        <v>1521</v>
      </c>
      <c r="L145">
        <v>678.54</v>
      </c>
      <c r="M145">
        <v>4</v>
      </c>
      <c r="N145">
        <v>0.15</v>
      </c>
      <c r="O145">
        <v>125.93</v>
      </c>
    </row>
    <row r="146" spans="1:15" x14ac:dyDescent="0.3">
      <c r="A146" t="s">
        <v>159</v>
      </c>
      <c r="B146" t="s">
        <v>656</v>
      </c>
      <c r="C146" t="s">
        <v>1021</v>
      </c>
      <c r="D146" t="s">
        <v>1371</v>
      </c>
      <c r="E146" t="s">
        <v>1376</v>
      </c>
      <c r="F146" t="s">
        <v>1380</v>
      </c>
      <c r="G146" t="s">
        <v>1384</v>
      </c>
      <c r="H146" t="s">
        <v>1388</v>
      </c>
      <c r="I146" t="s">
        <v>1394</v>
      </c>
      <c r="J146" t="s">
        <v>1402</v>
      </c>
      <c r="K146" t="s">
        <v>1449</v>
      </c>
      <c r="L146">
        <v>696.7</v>
      </c>
      <c r="M146">
        <v>9</v>
      </c>
      <c r="N146">
        <v>0.2</v>
      </c>
      <c r="O146">
        <v>172.7</v>
      </c>
    </row>
    <row r="147" spans="1:15" x14ac:dyDescent="0.3">
      <c r="A147" t="s">
        <v>160</v>
      </c>
      <c r="B147" t="s">
        <v>657</v>
      </c>
      <c r="C147" t="s">
        <v>1066</v>
      </c>
      <c r="D147" t="s">
        <v>1371</v>
      </c>
      <c r="E147" t="s">
        <v>1375</v>
      </c>
      <c r="F147" t="s">
        <v>1378</v>
      </c>
      <c r="G147" t="s">
        <v>1387</v>
      </c>
      <c r="H147" t="s">
        <v>1388</v>
      </c>
      <c r="I147" t="s">
        <v>1393</v>
      </c>
      <c r="J147" t="s">
        <v>1399</v>
      </c>
      <c r="K147" t="s">
        <v>1522</v>
      </c>
      <c r="L147">
        <v>272.5</v>
      </c>
      <c r="M147">
        <v>9</v>
      </c>
      <c r="N147">
        <v>0.15</v>
      </c>
      <c r="O147">
        <v>72.62</v>
      </c>
    </row>
    <row r="148" spans="1:15" x14ac:dyDescent="0.3">
      <c r="A148" t="s">
        <v>161</v>
      </c>
      <c r="B148" t="s">
        <v>658</v>
      </c>
      <c r="C148" t="s">
        <v>1106</v>
      </c>
      <c r="D148" t="s">
        <v>1363</v>
      </c>
      <c r="E148" t="s">
        <v>1374</v>
      </c>
      <c r="F148" t="s">
        <v>1378</v>
      </c>
      <c r="G148" t="s">
        <v>1385</v>
      </c>
      <c r="H148" t="s">
        <v>1389</v>
      </c>
      <c r="I148" t="s">
        <v>1393</v>
      </c>
      <c r="J148" t="s">
        <v>1400</v>
      </c>
      <c r="K148" t="s">
        <v>1523</v>
      </c>
      <c r="L148">
        <v>81.94</v>
      </c>
      <c r="M148">
        <v>7</v>
      </c>
      <c r="N148">
        <v>0.15</v>
      </c>
      <c r="O148">
        <v>13</v>
      </c>
    </row>
    <row r="149" spans="1:15" x14ac:dyDescent="0.3">
      <c r="A149" t="s">
        <v>162</v>
      </c>
      <c r="B149" t="s">
        <v>659</v>
      </c>
      <c r="C149" t="s">
        <v>1107</v>
      </c>
      <c r="D149" t="s">
        <v>1364</v>
      </c>
      <c r="E149" t="s">
        <v>1374</v>
      </c>
      <c r="F149" t="s">
        <v>1380</v>
      </c>
      <c r="G149" t="s">
        <v>1387</v>
      </c>
      <c r="H149" t="s">
        <v>1389</v>
      </c>
      <c r="I149" t="s">
        <v>1394</v>
      </c>
      <c r="J149" t="s">
        <v>1403</v>
      </c>
      <c r="K149" t="s">
        <v>1489</v>
      </c>
      <c r="L149">
        <v>356.79</v>
      </c>
      <c r="M149">
        <v>1</v>
      </c>
      <c r="N149">
        <v>0</v>
      </c>
      <c r="O149">
        <v>45.01</v>
      </c>
    </row>
    <row r="150" spans="1:15" x14ac:dyDescent="0.3">
      <c r="A150" t="s">
        <v>163</v>
      </c>
      <c r="B150" t="s">
        <v>660</v>
      </c>
      <c r="C150" t="s">
        <v>1108</v>
      </c>
      <c r="D150" t="s">
        <v>1359</v>
      </c>
      <c r="E150" t="s">
        <v>1376</v>
      </c>
      <c r="F150" t="s">
        <v>1379</v>
      </c>
      <c r="G150" t="s">
        <v>1385</v>
      </c>
      <c r="H150" t="s">
        <v>1389</v>
      </c>
      <c r="I150" t="s">
        <v>1394</v>
      </c>
      <c r="J150" t="s">
        <v>1402</v>
      </c>
      <c r="K150" t="s">
        <v>1477</v>
      </c>
      <c r="L150">
        <v>1125.2</v>
      </c>
      <c r="M150">
        <v>5</v>
      </c>
      <c r="N150">
        <v>0</v>
      </c>
      <c r="O150">
        <v>-219.83</v>
      </c>
    </row>
    <row r="151" spans="1:15" x14ac:dyDescent="0.3">
      <c r="A151" t="s">
        <v>164</v>
      </c>
      <c r="B151" t="s">
        <v>661</v>
      </c>
      <c r="C151" t="s">
        <v>1109</v>
      </c>
      <c r="D151" t="s">
        <v>1362</v>
      </c>
      <c r="E151" t="s">
        <v>1375</v>
      </c>
      <c r="F151" t="s">
        <v>1380</v>
      </c>
      <c r="G151" t="s">
        <v>1382</v>
      </c>
      <c r="H151" t="s">
        <v>1391</v>
      </c>
      <c r="I151" t="s">
        <v>1394</v>
      </c>
      <c r="J151" t="s">
        <v>1403</v>
      </c>
      <c r="K151" t="s">
        <v>1524</v>
      </c>
      <c r="L151">
        <v>247.52</v>
      </c>
      <c r="M151">
        <v>2</v>
      </c>
      <c r="N151">
        <v>0.15</v>
      </c>
      <c r="O151">
        <v>-29.39</v>
      </c>
    </row>
    <row r="152" spans="1:15" x14ac:dyDescent="0.3">
      <c r="A152" t="s">
        <v>165</v>
      </c>
      <c r="B152" t="s">
        <v>662</v>
      </c>
      <c r="C152" t="s">
        <v>1110</v>
      </c>
      <c r="D152" t="s">
        <v>1365</v>
      </c>
      <c r="E152" t="s">
        <v>1375</v>
      </c>
      <c r="F152" t="s">
        <v>1378</v>
      </c>
      <c r="G152" t="s">
        <v>1387</v>
      </c>
      <c r="H152" t="s">
        <v>1389</v>
      </c>
      <c r="I152" t="s">
        <v>1392</v>
      </c>
      <c r="J152" t="s">
        <v>1395</v>
      </c>
      <c r="K152" t="s">
        <v>1525</v>
      </c>
      <c r="L152">
        <v>1030.25</v>
      </c>
      <c r="M152">
        <v>7</v>
      </c>
      <c r="N152">
        <v>0.2</v>
      </c>
      <c r="O152">
        <v>59.38</v>
      </c>
    </row>
    <row r="153" spans="1:15" x14ac:dyDescent="0.3">
      <c r="A153" t="s">
        <v>166</v>
      </c>
      <c r="B153" t="s">
        <v>663</v>
      </c>
      <c r="C153" t="s">
        <v>1111</v>
      </c>
      <c r="D153" t="s">
        <v>1359</v>
      </c>
      <c r="E153" t="s">
        <v>1376</v>
      </c>
      <c r="F153" t="s">
        <v>1379</v>
      </c>
      <c r="G153" t="s">
        <v>1382</v>
      </c>
      <c r="H153" t="s">
        <v>1390</v>
      </c>
      <c r="I153" t="s">
        <v>1394</v>
      </c>
      <c r="J153" t="s">
        <v>1403</v>
      </c>
      <c r="K153" t="s">
        <v>1421</v>
      </c>
      <c r="L153">
        <v>297.92</v>
      </c>
      <c r="M153">
        <v>5</v>
      </c>
      <c r="N153">
        <v>0.15</v>
      </c>
      <c r="O153">
        <v>-14.61</v>
      </c>
    </row>
    <row r="154" spans="1:15" x14ac:dyDescent="0.3">
      <c r="A154" t="s">
        <v>167</v>
      </c>
      <c r="B154" t="s">
        <v>664</v>
      </c>
      <c r="C154" t="s">
        <v>1112</v>
      </c>
      <c r="D154" t="s">
        <v>1372</v>
      </c>
      <c r="E154" t="s">
        <v>1374</v>
      </c>
      <c r="F154" t="s">
        <v>1378</v>
      </c>
      <c r="G154" t="s">
        <v>1387</v>
      </c>
      <c r="H154" t="s">
        <v>1390</v>
      </c>
      <c r="I154" t="s">
        <v>1394</v>
      </c>
      <c r="J154" t="s">
        <v>1403</v>
      </c>
      <c r="K154" t="s">
        <v>1526</v>
      </c>
      <c r="L154">
        <v>208.47</v>
      </c>
      <c r="M154">
        <v>9</v>
      </c>
      <c r="N154">
        <v>0.15</v>
      </c>
      <c r="O154">
        <v>30.26</v>
      </c>
    </row>
    <row r="155" spans="1:15" x14ac:dyDescent="0.3">
      <c r="A155" t="s">
        <v>168</v>
      </c>
      <c r="B155" t="s">
        <v>665</v>
      </c>
      <c r="C155" t="s">
        <v>1113</v>
      </c>
      <c r="D155" t="s">
        <v>1363</v>
      </c>
      <c r="E155" t="s">
        <v>1374</v>
      </c>
      <c r="F155" t="s">
        <v>1380</v>
      </c>
      <c r="G155" t="s">
        <v>1383</v>
      </c>
      <c r="H155" t="s">
        <v>1389</v>
      </c>
      <c r="I155" t="s">
        <v>1393</v>
      </c>
      <c r="J155" t="s">
        <v>1396</v>
      </c>
      <c r="K155" t="s">
        <v>1527</v>
      </c>
      <c r="L155">
        <v>460.88</v>
      </c>
      <c r="M155">
        <v>9</v>
      </c>
      <c r="N155">
        <v>0.2</v>
      </c>
      <c r="O155">
        <v>82.35</v>
      </c>
    </row>
    <row r="156" spans="1:15" x14ac:dyDescent="0.3">
      <c r="A156" t="s">
        <v>169</v>
      </c>
      <c r="B156" t="s">
        <v>666</v>
      </c>
      <c r="C156" t="s">
        <v>1114</v>
      </c>
      <c r="D156" t="s">
        <v>1363</v>
      </c>
      <c r="E156" t="s">
        <v>1376</v>
      </c>
      <c r="F156" t="s">
        <v>1377</v>
      </c>
      <c r="G156" t="s">
        <v>1381</v>
      </c>
      <c r="H156" t="s">
        <v>1390</v>
      </c>
      <c r="I156" t="s">
        <v>1392</v>
      </c>
      <c r="J156" t="s">
        <v>1395</v>
      </c>
      <c r="K156" t="s">
        <v>1528</v>
      </c>
      <c r="L156">
        <v>152.41</v>
      </c>
      <c r="M156">
        <v>9</v>
      </c>
      <c r="O156">
        <v>-15.08</v>
      </c>
    </row>
    <row r="157" spans="1:15" x14ac:dyDescent="0.3">
      <c r="A157" t="s">
        <v>170</v>
      </c>
      <c r="B157" t="s">
        <v>667</v>
      </c>
      <c r="C157" t="s">
        <v>1115</v>
      </c>
      <c r="D157" t="s">
        <v>1365</v>
      </c>
      <c r="E157" t="s">
        <v>1375</v>
      </c>
      <c r="F157" t="s">
        <v>1377</v>
      </c>
      <c r="G157" t="s">
        <v>1382</v>
      </c>
      <c r="H157" t="s">
        <v>1391</v>
      </c>
      <c r="I157" t="s">
        <v>1392</v>
      </c>
      <c r="J157" t="s">
        <v>1395</v>
      </c>
      <c r="K157" t="s">
        <v>1412</v>
      </c>
      <c r="L157">
        <v>545.66999999999996</v>
      </c>
      <c r="M157">
        <v>1</v>
      </c>
      <c r="N157">
        <v>0.2</v>
      </c>
      <c r="O157">
        <v>-73.13</v>
      </c>
    </row>
    <row r="158" spans="1:15" x14ac:dyDescent="0.3">
      <c r="A158" t="s">
        <v>171</v>
      </c>
      <c r="B158" t="s">
        <v>668</v>
      </c>
      <c r="C158" t="s">
        <v>1116</v>
      </c>
      <c r="D158" t="s">
        <v>1361</v>
      </c>
      <c r="E158" t="s">
        <v>1375</v>
      </c>
      <c r="F158" t="s">
        <v>1380</v>
      </c>
      <c r="G158" t="s">
        <v>1385</v>
      </c>
      <c r="H158" t="s">
        <v>1388</v>
      </c>
      <c r="I158" t="s">
        <v>1394</v>
      </c>
      <c r="J158" t="s">
        <v>1402</v>
      </c>
      <c r="K158" t="s">
        <v>1529</v>
      </c>
      <c r="L158">
        <v>900.05</v>
      </c>
      <c r="M158">
        <v>10</v>
      </c>
      <c r="N158">
        <v>0</v>
      </c>
      <c r="O158">
        <v>-159.63</v>
      </c>
    </row>
    <row r="159" spans="1:15" x14ac:dyDescent="0.3">
      <c r="A159" t="s">
        <v>172</v>
      </c>
      <c r="B159" t="s">
        <v>669</v>
      </c>
      <c r="C159" t="s">
        <v>1117</v>
      </c>
      <c r="D159" t="s">
        <v>1373</v>
      </c>
      <c r="E159" t="s">
        <v>1376</v>
      </c>
      <c r="F159" t="s">
        <v>1380</v>
      </c>
      <c r="G159" t="s">
        <v>1382</v>
      </c>
      <c r="H159" t="s">
        <v>1390</v>
      </c>
      <c r="I159" t="s">
        <v>1392</v>
      </c>
      <c r="J159" t="s">
        <v>1395</v>
      </c>
      <c r="K159" t="s">
        <v>1530</v>
      </c>
      <c r="L159">
        <v>1174.43</v>
      </c>
      <c r="M159">
        <v>7</v>
      </c>
      <c r="N159">
        <v>0.15</v>
      </c>
      <c r="O159">
        <v>348.13</v>
      </c>
    </row>
    <row r="160" spans="1:15" x14ac:dyDescent="0.3">
      <c r="A160" t="s">
        <v>173</v>
      </c>
      <c r="B160" t="s">
        <v>670</v>
      </c>
      <c r="C160" t="s">
        <v>1118</v>
      </c>
      <c r="D160" t="s">
        <v>1369</v>
      </c>
      <c r="E160" t="s">
        <v>1376</v>
      </c>
      <c r="F160" t="s">
        <v>1377</v>
      </c>
      <c r="G160" t="s">
        <v>1382</v>
      </c>
      <c r="H160" t="s">
        <v>1389</v>
      </c>
      <c r="I160" t="s">
        <v>1392</v>
      </c>
      <c r="J160" t="s">
        <v>1401</v>
      </c>
      <c r="K160" t="s">
        <v>1531</v>
      </c>
      <c r="L160">
        <v>1191.56</v>
      </c>
      <c r="M160">
        <v>7</v>
      </c>
      <c r="O160">
        <v>-162.44</v>
      </c>
    </row>
    <row r="161" spans="1:15" x14ac:dyDescent="0.3">
      <c r="A161" t="s">
        <v>174</v>
      </c>
      <c r="B161" t="s">
        <v>671</v>
      </c>
      <c r="C161" t="s">
        <v>1119</v>
      </c>
      <c r="D161" t="s">
        <v>1369</v>
      </c>
      <c r="E161" t="s">
        <v>1374</v>
      </c>
      <c r="F161" t="s">
        <v>1377</v>
      </c>
      <c r="G161" t="s">
        <v>1383</v>
      </c>
      <c r="H161" t="s">
        <v>1388</v>
      </c>
      <c r="I161" t="s">
        <v>1392</v>
      </c>
      <c r="J161" t="s">
        <v>1397</v>
      </c>
      <c r="K161" t="s">
        <v>1532</v>
      </c>
      <c r="L161">
        <v>428.47</v>
      </c>
      <c r="M161">
        <v>5</v>
      </c>
      <c r="N161">
        <v>0.1</v>
      </c>
      <c r="O161">
        <v>115.13</v>
      </c>
    </row>
    <row r="162" spans="1:15" x14ac:dyDescent="0.3">
      <c r="A162" t="s">
        <v>175</v>
      </c>
      <c r="B162" t="s">
        <v>672</v>
      </c>
      <c r="C162" t="s">
        <v>1120</v>
      </c>
      <c r="D162" t="s">
        <v>1373</v>
      </c>
      <c r="E162" t="s">
        <v>1375</v>
      </c>
      <c r="F162" t="s">
        <v>1378</v>
      </c>
      <c r="G162" t="s">
        <v>1386</v>
      </c>
      <c r="H162" t="s">
        <v>1388</v>
      </c>
      <c r="I162" t="s">
        <v>1392</v>
      </c>
      <c r="J162" t="s">
        <v>1395</v>
      </c>
      <c r="K162" t="s">
        <v>1495</v>
      </c>
      <c r="L162">
        <v>59.62</v>
      </c>
      <c r="M162">
        <v>10</v>
      </c>
      <c r="N162">
        <v>0</v>
      </c>
      <c r="O162">
        <v>-4.63</v>
      </c>
    </row>
    <row r="163" spans="1:15" x14ac:dyDescent="0.3">
      <c r="A163" t="s">
        <v>176</v>
      </c>
      <c r="B163" t="s">
        <v>673</v>
      </c>
      <c r="C163" t="s">
        <v>1121</v>
      </c>
      <c r="D163" t="s">
        <v>1368</v>
      </c>
      <c r="E163" t="s">
        <v>1375</v>
      </c>
      <c r="F163" t="s">
        <v>1378</v>
      </c>
      <c r="G163" t="s">
        <v>1385</v>
      </c>
      <c r="H163" t="s">
        <v>1391</v>
      </c>
      <c r="I163" t="s">
        <v>1392</v>
      </c>
      <c r="J163" t="s">
        <v>1395</v>
      </c>
      <c r="K163" t="s">
        <v>1475</v>
      </c>
      <c r="L163">
        <v>699.81</v>
      </c>
      <c r="M163">
        <v>10</v>
      </c>
      <c r="O163">
        <v>130.35</v>
      </c>
    </row>
    <row r="164" spans="1:15" x14ac:dyDescent="0.3">
      <c r="A164" t="s">
        <v>177</v>
      </c>
      <c r="B164" t="s">
        <v>674</v>
      </c>
      <c r="C164" t="s">
        <v>1122</v>
      </c>
      <c r="D164" t="s">
        <v>1365</v>
      </c>
      <c r="E164" t="s">
        <v>1376</v>
      </c>
      <c r="F164" t="s">
        <v>1377</v>
      </c>
      <c r="G164" t="s">
        <v>1385</v>
      </c>
      <c r="H164" t="s">
        <v>1390</v>
      </c>
      <c r="I164" t="s">
        <v>1393</v>
      </c>
      <c r="J164" t="s">
        <v>1396</v>
      </c>
      <c r="K164" t="s">
        <v>1533</v>
      </c>
      <c r="L164">
        <v>1095.6600000000001</v>
      </c>
      <c r="M164">
        <v>7</v>
      </c>
      <c r="O164">
        <v>52.38</v>
      </c>
    </row>
    <row r="165" spans="1:15" x14ac:dyDescent="0.3">
      <c r="A165" t="s">
        <v>178</v>
      </c>
      <c r="B165" t="s">
        <v>675</v>
      </c>
      <c r="C165" t="s">
        <v>1099</v>
      </c>
      <c r="D165" t="s">
        <v>1367</v>
      </c>
      <c r="E165" t="s">
        <v>1374</v>
      </c>
      <c r="F165" t="s">
        <v>1377</v>
      </c>
      <c r="G165" t="s">
        <v>1385</v>
      </c>
      <c r="H165" t="s">
        <v>1390</v>
      </c>
      <c r="I165" t="s">
        <v>1393</v>
      </c>
      <c r="J165" t="s">
        <v>1399</v>
      </c>
      <c r="K165" t="s">
        <v>1474</v>
      </c>
      <c r="L165">
        <v>304.33999999999997</v>
      </c>
      <c r="M165">
        <v>4</v>
      </c>
      <c r="N165">
        <v>0.15</v>
      </c>
      <c r="O165">
        <v>69.62</v>
      </c>
    </row>
    <row r="166" spans="1:15" x14ac:dyDescent="0.3">
      <c r="A166" t="s">
        <v>179</v>
      </c>
      <c r="B166" t="s">
        <v>676</v>
      </c>
      <c r="C166" t="s">
        <v>1123</v>
      </c>
      <c r="D166" t="s">
        <v>1363</v>
      </c>
      <c r="E166" t="s">
        <v>1376</v>
      </c>
      <c r="F166" t="s">
        <v>1377</v>
      </c>
      <c r="G166" t="s">
        <v>1382</v>
      </c>
      <c r="H166" t="s">
        <v>1388</v>
      </c>
      <c r="I166" t="s">
        <v>1392</v>
      </c>
      <c r="J166" t="s">
        <v>1397</v>
      </c>
      <c r="K166" t="s">
        <v>1534</v>
      </c>
      <c r="L166">
        <v>783.11</v>
      </c>
      <c r="M166">
        <v>8</v>
      </c>
      <c r="N166">
        <v>0.15</v>
      </c>
      <c r="O166">
        <v>-120.42</v>
      </c>
    </row>
    <row r="167" spans="1:15" x14ac:dyDescent="0.3">
      <c r="A167" t="s">
        <v>180</v>
      </c>
      <c r="B167" t="s">
        <v>677</v>
      </c>
      <c r="C167" t="s">
        <v>1124</v>
      </c>
      <c r="D167" t="s">
        <v>1371</v>
      </c>
      <c r="E167" t="s">
        <v>1375</v>
      </c>
      <c r="F167" t="s">
        <v>1378</v>
      </c>
      <c r="G167" t="s">
        <v>1382</v>
      </c>
      <c r="H167" t="s">
        <v>1388</v>
      </c>
      <c r="I167" t="s">
        <v>1393</v>
      </c>
      <c r="J167" t="s">
        <v>1396</v>
      </c>
      <c r="K167" t="s">
        <v>1535</v>
      </c>
      <c r="L167">
        <v>679.44</v>
      </c>
      <c r="M167">
        <v>8</v>
      </c>
      <c r="N167">
        <v>0.1</v>
      </c>
      <c r="O167">
        <v>159.49</v>
      </c>
    </row>
    <row r="168" spans="1:15" x14ac:dyDescent="0.3">
      <c r="A168" t="s">
        <v>181</v>
      </c>
      <c r="B168" t="s">
        <v>678</v>
      </c>
      <c r="C168" t="s">
        <v>1125</v>
      </c>
      <c r="D168" t="s">
        <v>1372</v>
      </c>
      <c r="E168" t="s">
        <v>1376</v>
      </c>
      <c r="F168" t="s">
        <v>1377</v>
      </c>
      <c r="G168" t="s">
        <v>1383</v>
      </c>
      <c r="H168" t="s">
        <v>1391</v>
      </c>
      <c r="I168" t="s">
        <v>1392</v>
      </c>
      <c r="J168" t="s">
        <v>1395</v>
      </c>
      <c r="K168" t="s">
        <v>1496</v>
      </c>
      <c r="L168">
        <v>733.19</v>
      </c>
      <c r="M168">
        <v>4</v>
      </c>
      <c r="N168">
        <v>0.2</v>
      </c>
      <c r="O168">
        <v>188.84</v>
      </c>
    </row>
    <row r="169" spans="1:15" x14ac:dyDescent="0.3">
      <c r="A169" t="s">
        <v>182</v>
      </c>
      <c r="B169" t="s">
        <v>679</v>
      </c>
      <c r="C169" t="s">
        <v>1126</v>
      </c>
      <c r="D169" t="s">
        <v>1372</v>
      </c>
      <c r="E169" t="s">
        <v>1375</v>
      </c>
      <c r="F169" t="s">
        <v>1378</v>
      </c>
      <c r="G169" t="s">
        <v>1382</v>
      </c>
      <c r="H169" t="s">
        <v>1390</v>
      </c>
      <c r="I169" t="s">
        <v>1393</v>
      </c>
      <c r="J169" t="s">
        <v>1399</v>
      </c>
      <c r="K169" t="s">
        <v>1536</v>
      </c>
      <c r="L169">
        <v>569.88</v>
      </c>
      <c r="M169">
        <v>8</v>
      </c>
      <c r="N169">
        <v>0.15</v>
      </c>
      <c r="O169">
        <v>146.55000000000001</v>
      </c>
    </row>
    <row r="170" spans="1:15" x14ac:dyDescent="0.3">
      <c r="A170" t="s">
        <v>183</v>
      </c>
      <c r="B170" t="s">
        <v>680</v>
      </c>
      <c r="C170" t="s">
        <v>1127</v>
      </c>
      <c r="D170" t="s">
        <v>1365</v>
      </c>
      <c r="E170" t="s">
        <v>1375</v>
      </c>
      <c r="F170" t="s">
        <v>1377</v>
      </c>
      <c r="G170" t="s">
        <v>1383</v>
      </c>
      <c r="H170" t="s">
        <v>1391</v>
      </c>
      <c r="I170" t="s">
        <v>1393</v>
      </c>
      <c r="J170" t="s">
        <v>1396</v>
      </c>
      <c r="K170" t="s">
        <v>1537</v>
      </c>
      <c r="L170">
        <v>869.61</v>
      </c>
      <c r="M170">
        <v>5</v>
      </c>
      <c r="N170">
        <v>0.1</v>
      </c>
      <c r="O170">
        <v>-88.62</v>
      </c>
    </row>
    <row r="171" spans="1:15" x14ac:dyDescent="0.3">
      <c r="A171" t="s">
        <v>184</v>
      </c>
      <c r="B171" t="s">
        <v>681</v>
      </c>
      <c r="C171" t="s">
        <v>1128</v>
      </c>
      <c r="D171" t="s">
        <v>1363</v>
      </c>
      <c r="E171" t="s">
        <v>1374</v>
      </c>
      <c r="F171" t="s">
        <v>1377</v>
      </c>
      <c r="G171" t="s">
        <v>1387</v>
      </c>
      <c r="H171" t="s">
        <v>1388</v>
      </c>
      <c r="I171" t="s">
        <v>1393</v>
      </c>
      <c r="J171" t="s">
        <v>1396</v>
      </c>
      <c r="K171" t="s">
        <v>1527</v>
      </c>
      <c r="L171">
        <v>892.72</v>
      </c>
      <c r="M171">
        <v>8</v>
      </c>
      <c r="N171">
        <v>0.1</v>
      </c>
      <c r="O171">
        <v>148.54</v>
      </c>
    </row>
    <row r="172" spans="1:15" x14ac:dyDescent="0.3">
      <c r="A172" t="s">
        <v>185</v>
      </c>
      <c r="B172" t="s">
        <v>682</v>
      </c>
      <c r="C172" t="s">
        <v>1129</v>
      </c>
      <c r="D172" t="s">
        <v>1361</v>
      </c>
      <c r="E172" t="s">
        <v>1375</v>
      </c>
      <c r="F172" t="s">
        <v>1380</v>
      </c>
      <c r="G172" t="s">
        <v>1387</v>
      </c>
      <c r="H172" t="s">
        <v>1389</v>
      </c>
      <c r="I172" t="s">
        <v>1393</v>
      </c>
      <c r="J172" t="s">
        <v>1400</v>
      </c>
      <c r="K172" t="s">
        <v>1445</v>
      </c>
      <c r="L172">
        <v>921.92</v>
      </c>
      <c r="M172">
        <v>7</v>
      </c>
      <c r="N172">
        <v>0.1</v>
      </c>
      <c r="O172">
        <v>204</v>
      </c>
    </row>
    <row r="173" spans="1:15" x14ac:dyDescent="0.3">
      <c r="A173" t="s">
        <v>186</v>
      </c>
      <c r="B173" t="s">
        <v>683</v>
      </c>
      <c r="C173" t="s">
        <v>1122</v>
      </c>
      <c r="D173" t="s">
        <v>1360</v>
      </c>
      <c r="E173" t="s">
        <v>1375</v>
      </c>
      <c r="F173" t="s">
        <v>1380</v>
      </c>
      <c r="G173" t="s">
        <v>1383</v>
      </c>
      <c r="H173" t="s">
        <v>1391</v>
      </c>
      <c r="I173" t="s">
        <v>1393</v>
      </c>
      <c r="J173" t="s">
        <v>1396</v>
      </c>
      <c r="K173" t="s">
        <v>1538</v>
      </c>
      <c r="L173">
        <v>1122.01</v>
      </c>
      <c r="M173">
        <v>8</v>
      </c>
      <c r="N173">
        <v>0.2</v>
      </c>
      <c r="O173">
        <v>-215.58</v>
      </c>
    </row>
    <row r="174" spans="1:15" x14ac:dyDescent="0.3">
      <c r="A174" t="s">
        <v>187</v>
      </c>
      <c r="B174" t="s">
        <v>684</v>
      </c>
      <c r="C174" t="s">
        <v>1130</v>
      </c>
      <c r="D174" t="s">
        <v>1363</v>
      </c>
      <c r="E174" t="s">
        <v>1375</v>
      </c>
      <c r="F174" t="s">
        <v>1379</v>
      </c>
      <c r="G174" t="s">
        <v>1386</v>
      </c>
      <c r="H174" t="s">
        <v>1391</v>
      </c>
      <c r="I174" t="s">
        <v>1393</v>
      </c>
      <c r="J174" t="s">
        <v>1396</v>
      </c>
      <c r="K174" t="s">
        <v>1539</v>
      </c>
      <c r="L174">
        <v>815.36</v>
      </c>
      <c r="M174">
        <v>3</v>
      </c>
      <c r="N174">
        <v>0</v>
      </c>
      <c r="O174">
        <v>211.2</v>
      </c>
    </row>
    <row r="175" spans="1:15" x14ac:dyDescent="0.3">
      <c r="A175" t="s">
        <v>188</v>
      </c>
      <c r="B175" t="s">
        <v>685</v>
      </c>
      <c r="C175" t="s">
        <v>1131</v>
      </c>
      <c r="D175" t="s">
        <v>1368</v>
      </c>
      <c r="E175" t="s">
        <v>1374</v>
      </c>
      <c r="F175" t="s">
        <v>1380</v>
      </c>
      <c r="G175" t="s">
        <v>1382</v>
      </c>
      <c r="H175" t="s">
        <v>1388</v>
      </c>
      <c r="I175" t="s">
        <v>1392</v>
      </c>
      <c r="J175" t="s">
        <v>1397</v>
      </c>
      <c r="K175" t="s">
        <v>1498</v>
      </c>
      <c r="L175">
        <v>1151.97</v>
      </c>
      <c r="M175">
        <v>8</v>
      </c>
      <c r="O175">
        <v>-90.31</v>
      </c>
    </row>
    <row r="176" spans="1:15" x14ac:dyDescent="0.3">
      <c r="A176" t="s">
        <v>189</v>
      </c>
      <c r="B176" t="s">
        <v>686</v>
      </c>
      <c r="C176" t="s">
        <v>1046</v>
      </c>
      <c r="D176" t="s">
        <v>1362</v>
      </c>
      <c r="E176" t="s">
        <v>1375</v>
      </c>
      <c r="F176" t="s">
        <v>1380</v>
      </c>
      <c r="G176" t="s">
        <v>1387</v>
      </c>
      <c r="H176" t="s">
        <v>1390</v>
      </c>
      <c r="I176" t="s">
        <v>1394</v>
      </c>
      <c r="J176" t="s">
        <v>1398</v>
      </c>
      <c r="K176" t="s">
        <v>1470</v>
      </c>
      <c r="L176">
        <v>581.69000000000005</v>
      </c>
      <c r="M176">
        <v>1</v>
      </c>
      <c r="N176">
        <v>0.1</v>
      </c>
      <c r="O176">
        <v>-92.29</v>
      </c>
    </row>
    <row r="177" spans="1:15" x14ac:dyDescent="0.3">
      <c r="A177" t="s">
        <v>190</v>
      </c>
      <c r="B177" t="s">
        <v>521</v>
      </c>
      <c r="C177" t="s">
        <v>1103</v>
      </c>
      <c r="D177" t="s">
        <v>1368</v>
      </c>
      <c r="E177" t="s">
        <v>1375</v>
      </c>
      <c r="F177" t="s">
        <v>1378</v>
      </c>
      <c r="G177" t="s">
        <v>1383</v>
      </c>
      <c r="H177" t="s">
        <v>1390</v>
      </c>
      <c r="I177" t="s">
        <v>1394</v>
      </c>
      <c r="J177" t="s">
        <v>1402</v>
      </c>
      <c r="K177" t="s">
        <v>1540</v>
      </c>
      <c r="L177">
        <v>1110.51</v>
      </c>
      <c r="M177">
        <v>5</v>
      </c>
      <c r="O177">
        <v>90.79</v>
      </c>
    </row>
    <row r="178" spans="1:15" x14ac:dyDescent="0.3">
      <c r="A178" t="s">
        <v>191</v>
      </c>
      <c r="B178" t="s">
        <v>687</v>
      </c>
      <c r="C178" t="s">
        <v>1132</v>
      </c>
      <c r="D178" t="s">
        <v>1360</v>
      </c>
      <c r="E178" t="s">
        <v>1376</v>
      </c>
      <c r="F178" t="s">
        <v>1378</v>
      </c>
      <c r="G178" t="s">
        <v>1386</v>
      </c>
      <c r="H178" t="s">
        <v>1388</v>
      </c>
      <c r="I178" t="s">
        <v>1392</v>
      </c>
      <c r="J178" t="s">
        <v>1397</v>
      </c>
      <c r="K178" t="s">
        <v>1541</v>
      </c>
      <c r="L178">
        <v>211.69</v>
      </c>
      <c r="M178">
        <v>4</v>
      </c>
      <c r="O178">
        <v>46.01</v>
      </c>
    </row>
    <row r="179" spans="1:15" x14ac:dyDescent="0.3">
      <c r="A179" t="s">
        <v>192</v>
      </c>
      <c r="B179" t="s">
        <v>688</v>
      </c>
      <c r="C179" t="s">
        <v>1001</v>
      </c>
      <c r="D179" t="s">
        <v>1360</v>
      </c>
      <c r="E179" t="s">
        <v>1376</v>
      </c>
      <c r="F179" t="s">
        <v>1380</v>
      </c>
      <c r="G179" t="s">
        <v>1382</v>
      </c>
      <c r="H179" t="s">
        <v>1391</v>
      </c>
      <c r="I179" t="s">
        <v>1392</v>
      </c>
      <c r="J179" t="s">
        <v>1401</v>
      </c>
      <c r="K179" t="s">
        <v>1542</v>
      </c>
      <c r="L179">
        <v>535.76</v>
      </c>
      <c r="M179">
        <v>2</v>
      </c>
      <c r="N179">
        <v>0.15</v>
      </c>
      <c r="O179">
        <v>54.96</v>
      </c>
    </row>
    <row r="180" spans="1:15" x14ac:dyDescent="0.3">
      <c r="A180" t="s">
        <v>193</v>
      </c>
      <c r="B180" t="s">
        <v>689</v>
      </c>
      <c r="C180" t="s">
        <v>1133</v>
      </c>
      <c r="D180" t="s">
        <v>1367</v>
      </c>
      <c r="E180" t="s">
        <v>1374</v>
      </c>
      <c r="F180" t="s">
        <v>1379</v>
      </c>
      <c r="G180" t="s">
        <v>1386</v>
      </c>
      <c r="H180" t="s">
        <v>1390</v>
      </c>
      <c r="I180" t="s">
        <v>1394</v>
      </c>
      <c r="J180" t="s">
        <v>1398</v>
      </c>
      <c r="K180" t="s">
        <v>1416</v>
      </c>
      <c r="L180">
        <v>1130.55</v>
      </c>
      <c r="M180">
        <v>7</v>
      </c>
      <c r="N180">
        <v>0.1</v>
      </c>
      <c r="O180">
        <v>158.1</v>
      </c>
    </row>
    <row r="181" spans="1:15" x14ac:dyDescent="0.3">
      <c r="A181" t="s">
        <v>194</v>
      </c>
      <c r="B181" t="s">
        <v>690</v>
      </c>
      <c r="C181" t="s">
        <v>1134</v>
      </c>
      <c r="D181" t="s">
        <v>1369</v>
      </c>
      <c r="E181" t="s">
        <v>1376</v>
      </c>
      <c r="F181" t="s">
        <v>1377</v>
      </c>
      <c r="G181" t="s">
        <v>1384</v>
      </c>
      <c r="H181" t="s">
        <v>1391</v>
      </c>
      <c r="I181" t="s">
        <v>1394</v>
      </c>
      <c r="J181" t="s">
        <v>1402</v>
      </c>
      <c r="K181" t="s">
        <v>1513</v>
      </c>
      <c r="L181">
        <v>468.4</v>
      </c>
      <c r="M181">
        <v>3</v>
      </c>
      <c r="N181">
        <v>0.2</v>
      </c>
      <c r="O181">
        <v>-19.510000000000002</v>
      </c>
    </row>
    <row r="182" spans="1:15" x14ac:dyDescent="0.3">
      <c r="A182" t="s">
        <v>195</v>
      </c>
      <c r="B182" t="s">
        <v>691</v>
      </c>
      <c r="C182" t="s">
        <v>1135</v>
      </c>
      <c r="D182" t="s">
        <v>1366</v>
      </c>
      <c r="E182" t="s">
        <v>1374</v>
      </c>
      <c r="F182" t="s">
        <v>1380</v>
      </c>
      <c r="G182" t="s">
        <v>1383</v>
      </c>
      <c r="H182" t="s">
        <v>1391</v>
      </c>
      <c r="I182" t="s">
        <v>1392</v>
      </c>
      <c r="J182" t="s">
        <v>1397</v>
      </c>
      <c r="K182" t="s">
        <v>1406</v>
      </c>
      <c r="L182">
        <v>549.64</v>
      </c>
      <c r="M182">
        <v>9</v>
      </c>
      <c r="O182">
        <v>2.21</v>
      </c>
    </row>
    <row r="183" spans="1:15" x14ac:dyDescent="0.3">
      <c r="A183" t="s">
        <v>196</v>
      </c>
      <c r="B183" t="s">
        <v>692</v>
      </c>
      <c r="C183" t="s">
        <v>1136</v>
      </c>
      <c r="D183" t="s">
        <v>1367</v>
      </c>
      <c r="E183" t="s">
        <v>1375</v>
      </c>
      <c r="F183" t="s">
        <v>1379</v>
      </c>
      <c r="G183" t="s">
        <v>1384</v>
      </c>
      <c r="H183" t="s">
        <v>1391</v>
      </c>
      <c r="I183" t="s">
        <v>1394</v>
      </c>
      <c r="J183" t="s">
        <v>1403</v>
      </c>
      <c r="K183" t="s">
        <v>1543</v>
      </c>
      <c r="L183">
        <v>939.42</v>
      </c>
      <c r="M183">
        <v>9</v>
      </c>
      <c r="N183">
        <v>0.1</v>
      </c>
      <c r="O183">
        <v>80.77</v>
      </c>
    </row>
    <row r="184" spans="1:15" x14ac:dyDescent="0.3">
      <c r="A184" t="s">
        <v>197</v>
      </c>
      <c r="B184" t="s">
        <v>693</v>
      </c>
      <c r="C184" t="s">
        <v>1137</v>
      </c>
      <c r="D184" t="s">
        <v>1371</v>
      </c>
      <c r="E184" t="s">
        <v>1374</v>
      </c>
      <c r="F184" t="s">
        <v>1377</v>
      </c>
      <c r="G184" t="s">
        <v>1383</v>
      </c>
      <c r="H184" t="s">
        <v>1390</v>
      </c>
      <c r="I184" t="s">
        <v>1392</v>
      </c>
      <c r="J184" t="s">
        <v>1397</v>
      </c>
      <c r="K184" t="s">
        <v>1544</v>
      </c>
      <c r="L184">
        <v>345.64</v>
      </c>
      <c r="M184">
        <v>5</v>
      </c>
      <c r="N184">
        <v>0.2</v>
      </c>
      <c r="O184">
        <v>66.13</v>
      </c>
    </row>
    <row r="185" spans="1:15" x14ac:dyDescent="0.3">
      <c r="A185" t="s">
        <v>198</v>
      </c>
      <c r="B185" t="s">
        <v>694</v>
      </c>
      <c r="C185" t="s">
        <v>1138</v>
      </c>
      <c r="D185" t="s">
        <v>1373</v>
      </c>
      <c r="E185" t="s">
        <v>1376</v>
      </c>
      <c r="F185" t="s">
        <v>1378</v>
      </c>
      <c r="G185" t="s">
        <v>1384</v>
      </c>
      <c r="H185" t="s">
        <v>1391</v>
      </c>
      <c r="I185" t="s">
        <v>1394</v>
      </c>
      <c r="J185" t="s">
        <v>1402</v>
      </c>
      <c r="K185" t="s">
        <v>1545</v>
      </c>
      <c r="L185">
        <v>1139.6099999999999</v>
      </c>
      <c r="M185">
        <v>6</v>
      </c>
      <c r="O185">
        <v>-11.46</v>
      </c>
    </row>
    <row r="186" spans="1:15" x14ac:dyDescent="0.3">
      <c r="A186" t="s">
        <v>199</v>
      </c>
      <c r="B186" t="s">
        <v>695</v>
      </c>
      <c r="C186" t="s">
        <v>1139</v>
      </c>
      <c r="D186" t="s">
        <v>1365</v>
      </c>
      <c r="E186" t="s">
        <v>1375</v>
      </c>
      <c r="F186" t="s">
        <v>1379</v>
      </c>
      <c r="G186" t="s">
        <v>1385</v>
      </c>
      <c r="H186" t="s">
        <v>1391</v>
      </c>
      <c r="I186" t="s">
        <v>1394</v>
      </c>
      <c r="J186" t="s">
        <v>1403</v>
      </c>
      <c r="K186" t="s">
        <v>1546</v>
      </c>
      <c r="L186">
        <v>229.61</v>
      </c>
      <c r="M186">
        <v>7</v>
      </c>
      <c r="N186">
        <v>0.15</v>
      </c>
      <c r="O186">
        <v>-12.46</v>
      </c>
    </row>
    <row r="187" spans="1:15" x14ac:dyDescent="0.3">
      <c r="A187" t="s">
        <v>200</v>
      </c>
      <c r="B187" t="s">
        <v>696</v>
      </c>
      <c r="C187" t="s">
        <v>1140</v>
      </c>
      <c r="D187" t="s">
        <v>1361</v>
      </c>
      <c r="E187" t="s">
        <v>1376</v>
      </c>
      <c r="F187" t="s">
        <v>1378</v>
      </c>
      <c r="G187" t="s">
        <v>1385</v>
      </c>
      <c r="H187" t="s">
        <v>1391</v>
      </c>
      <c r="I187" t="s">
        <v>1393</v>
      </c>
      <c r="J187" t="s">
        <v>1400</v>
      </c>
      <c r="K187" t="s">
        <v>1547</v>
      </c>
      <c r="L187">
        <v>718.83</v>
      </c>
      <c r="M187">
        <v>9</v>
      </c>
      <c r="N187">
        <v>0.1</v>
      </c>
      <c r="O187">
        <v>101.25</v>
      </c>
    </row>
    <row r="188" spans="1:15" x14ac:dyDescent="0.3">
      <c r="A188" t="s">
        <v>201</v>
      </c>
      <c r="B188" t="s">
        <v>697</v>
      </c>
      <c r="C188" t="s">
        <v>1134</v>
      </c>
      <c r="D188" t="s">
        <v>1373</v>
      </c>
      <c r="E188" t="s">
        <v>1375</v>
      </c>
      <c r="F188" t="s">
        <v>1377</v>
      </c>
      <c r="G188" t="s">
        <v>1383</v>
      </c>
      <c r="H188" t="s">
        <v>1389</v>
      </c>
      <c r="I188" t="s">
        <v>1393</v>
      </c>
      <c r="J188" t="s">
        <v>1399</v>
      </c>
      <c r="K188" t="s">
        <v>1548</v>
      </c>
      <c r="L188">
        <v>184.23</v>
      </c>
      <c r="M188">
        <v>5</v>
      </c>
      <c r="N188">
        <v>0.1</v>
      </c>
      <c r="O188">
        <v>-13.57</v>
      </c>
    </row>
    <row r="189" spans="1:15" x14ac:dyDescent="0.3">
      <c r="A189" t="s">
        <v>202</v>
      </c>
      <c r="B189" t="s">
        <v>698</v>
      </c>
      <c r="C189" t="s">
        <v>1141</v>
      </c>
      <c r="D189" t="s">
        <v>1364</v>
      </c>
      <c r="E189" t="s">
        <v>1375</v>
      </c>
      <c r="F189" t="s">
        <v>1380</v>
      </c>
      <c r="G189" t="s">
        <v>1386</v>
      </c>
      <c r="H189" t="s">
        <v>1390</v>
      </c>
      <c r="I189" t="s">
        <v>1393</v>
      </c>
      <c r="J189" t="s">
        <v>1396</v>
      </c>
      <c r="K189" t="s">
        <v>1549</v>
      </c>
      <c r="L189">
        <v>513.59</v>
      </c>
      <c r="M189">
        <v>1</v>
      </c>
      <c r="N189">
        <v>0.15</v>
      </c>
      <c r="O189">
        <v>77.459999999999994</v>
      </c>
    </row>
    <row r="190" spans="1:15" x14ac:dyDescent="0.3">
      <c r="A190" t="s">
        <v>203</v>
      </c>
      <c r="B190" t="s">
        <v>699</v>
      </c>
      <c r="C190" t="s">
        <v>1142</v>
      </c>
      <c r="D190" t="s">
        <v>1367</v>
      </c>
      <c r="E190" t="s">
        <v>1375</v>
      </c>
      <c r="F190" t="s">
        <v>1380</v>
      </c>
      <c r="G190" t="s">
        <v>1384</v>
      </c>
      <c r="H190" t="s">
        <v>1390</v>
      </c>
      <c r="I190" t="s">
        <v>1392</v>
      </c>
      <c r="J190" t="s">
        <v>1395</v>
      </c>
      <c r="K190" t="s">
        <v>1424</v>
      </c>
      <c r="L190">
        <v>742.96</v>
      </c>
      <c r="M190">
        <v>10</v>
      </c>
      <c r="N190">
        <v>0.2</v>
      </c>
      <c r="O190">
        <v>210.56</v>
      </c>
    </row>
    <row r="191" spans="1:15" x14ac:dyDescent="0.3">
      <c r="A191" t="s">
        <v>204</v>
      </c>
      <c r="B191" t="s">
        <v>700</v>
      </c>
      <c r="C191" t="s">
        <v>1143</v>
      </c>
      <c r="D191" t="s">
        <v>1364</v>
      </c>
      <c r="E191" t="s">
        <v>1374</v>
      </c>
      <c r="F191" t="s">
        <v>1378</v>
      </c>
      <c r="G191" t="s">
        <v>1384</v>
      </c>
      <c r="H191" t="s">
        <v>1388</v>
      </c>
      <c r="I191" t="s">
        <v>1393</v>
      </c>
      <c r="J191" t="s">
        <v>1396</v>
      </c>
      <c r="K191" t="s">
        <v>1550</v>
      </c>
      <c r="L191">
        <v>831.44</v>
      </c>
      <c r="M191">
        <v>4</v>
      </c>
      <c r="N191">
        <v>0.2</v>
      </c>
      <c r="O191">
        <v>-10.76</v>
      </c>
    </row>
    <row r="192" spans="1:15" x14ac:dyDescent="0.3">
      <c r="A192" t="s">
        <v>205</v>
      </c>
      <c r="B192" t="s">
        <v>701</v>
      </c>
      <c r="C192" t="s">
        <v>1138</v>
      </c>
      <c r="D192" t="s">
        <v>1370</v>
      </c>
      <c r="E192" t="s">
        <v>1376</v>
      </c>
      <c r="F192" t="s">
        <v>1379</v>
      </c>
      <c r="G192" t="s">
        <v>1385</v>
      </c>
      <c r="H192" t="s">
        <v>1388</v>
      </c>
      <c r="I192" t="s">
        <v>1394</v>
      </c>
      <c r="J192" t="s">
        <v>1402</v>
      </c>
      <c r="K192" t="s">
        <v>1551</v>
      </c>
      <c r="L192">
        <v>156.96</v>
      </c>
      <c r="M192">
        <v>3</v>
      </c>
      <c r="N192">
        <v>0.15</v>
      </c>
      <c r="O192">
        <v>-6.91</v>
      </c>
    </row>
    <row r="193" spans="1:15" x14ac:dyDescent="0.3">
      <c r="A193" t="s">
        <v>206</v>
      </c>
      <c r="B193" t="s">
        <v>702</v>
      </c>
      <c r="C193" t="s">
        <v>1144</v>
      </c>
      <c r="D193" t="s">
        <v>1361</v>
      </c>
      <c r="E193" t="s">
        <v>1375</v>
      </c>
      <c r="F193" t="s">
        <v>1378</v>
      </c>
      <c r="G193" t="s">
        <v>1383</v>
      </c>
      <c r="H193" t="s">
        <v>1390</v>
      </c>
      <c r="I193" t="s">
        <v>1394</v>
      </c>
      <c r="J193" t="s">
        <v>1402</v>
      </c>
      <c r="K193" t="s">
        <v>1552</v>
      </c>
      <c r="L193">
        <v>374.31</v>
      </c>
      <c r="M193">
        <v>2</v>
      </c>
      <c r="N193">
        <v>0</v>
      </c>
      <c r="O193">
        <v>84.07</v>
      </c>
    </row>
    <row r="194" spans="1:15" x14ac:dyDescent="0.3">
      <c r="A194" t="s">
        <v>207</v>
      </c>
      <c r="B194" t="s">
        <v>703</v>
      </c>
      <c r="C194" t="s">
        <v>1145</v>
      </c>
      <c r="D194" t="s">
        <v>1373</v>
      </c>
      <c r="E194" t="s">
        <v>1375</v>
      </c>
      <c r="F194" t="s">
        <v>1378</v>
      </c>
      <c r="G194" t="s">
        <v>1385</v>
      </c>
      <c r="H194" t="s">
        <v>1389</v>
      </c>
      <c r="I194" t="s">
        <v>1393</v>
      </c>
      <c r="J194" t="s">
        <v>1399</v>
      </c>
      <c r="K194" t="s">
        <v>1474</v>
      </c>
      <c r="L194">
        <v>1150.99</v>
      </c>
      <c r="M194">
        <v>4</v>
      </c>
      <c r="N194">
        <v>0.2</v>
      </c>
      <c r="O194">
        <v>132.22999999999999</v>
      </c>
    </row>
    <row r="195" spans="1:15" x14ac:dyDescent="0.3">
      <c r="A195" t="s">
        <v>208</v>
      </c>
      <c r="B195" t="s">
        <v>704</v>
      </c>
      <c r="C195" t="s">
        <v>1146</v>
      </c>
      <c r="D195" t="s">
        <v>1368</v>
      </c>
      <c r="E195" t="s">
        <v>1376</v>
      </c>
      <c r="F195" t="s">
        <v>1378</v>
      </c>
      <c r="G195" t="s">
        <v>1385</v>
      </c>
      <c r="H195" t="s">
        <v>1388</v>
      </c>
      <c r="I195" t="s">
        <v>1392</v>
      </c>
      <c r="J195" t="s">
        <v>1397</v>
      </c>
      <c r="K195" t="s">
        <v>1442</v>
      </c>
      <c r="L195">
        <v>907.74</v>
      </c>
      <c r="M195">
        <v>2</v>
      </c>
      <c r="O195">
        <v>-135.37</v>
      </c>
    </row>
    <row r="196" spans="1:15" x14ac:dyDescent="0.3">
      <c r="A196" t="s">
        <v>209</v>
      </c>
      <c r="B196" t="s">
        <v>705</v>
      </c>
      <c r="C196" t="s">
        <v>1147</v>
      </c>
      <c r="D196" t="s">
        <v>1372</v>
      </c>
      <c r="E196" t="s">
        <v>1376</v>
      </c>
      <c r="F196" t="s">
        <v>1378</v>
      </c>
      <c r="G196" t="s">
        <v>1386</v>
      </c>
      <c r="H196" t="s">
        <v>1391</v>
      </c>
      <c r="I196" t="s">
        <v>1393</v>
      </c>
      <c r="J196" t="s">
        <v>1396</v>
      </c>
      <c r="K196" t="s">
        <v>1454</v>
      </c>
      <c r="L196">
        <v>389.82</v>
      </c>
      <c r="M196">
        <v>7</v>
      </c>
      <c r="O196">
        <v>-1.45</v>
      </c>
    </row>
    <row r="197" spans="1:15" x14ac:dyDescent="0.3">
      <c r="A197" t="s">
        <v>210</v>
      </c>
      <c r="B197" t="s">
        <v>706</v>
      </c>
      <c r="C197" t="s">
        <v>1148</v>
      </c>
      <c r="D197" t="s">
        <v>1370</v>
      </c>
      <c r="E197" t="s">
        <v>1376</v>
      </c>
      <c r="F197" t="s">
        <v>1377</v>
      </c>
      <c r="G197" t="s">
        <v>1383</v>
      </c>
      <c r="H197" t="s">
        <v>1390</v>
      </c>
      <c r="I197" t="s">
        <v>1393</v>
      </c>
      <c r="J197" t="s">
        <v>1400</v>
      </c>
      <c r="K197" t="s">
        <v>1553</v>
      </c>
      <c r="L197">
        <v>389.56</v>
      </c>
      <c r="M197">
        <v>4</v>
      </c>
      <c r="N197">
        <v>0.15</v>
      </c>
      <c r="O197">
        <v>-55.13</v>
      </c>
    </row>
    <row r="198" spans="1:15" x14ac:dyDescent="0.3">
      <c r="A198" t="s">
        <v>211</v>
      </c>
      <c r="B198" t="s">
        <v>707</v>
      </c>
      <c r="C198" t="s">
        <v>1149</v>
      </c>
      <c r="D198" t="s">
        <v>1363</v>
      </c>
      <c r="E198" t="s">
        <v>1376</v>
      </c>
      <c r="F198" t="s">
        <v>1377</v>
      </c>
      <c r="G198" t="s">
        <v>1383</v>
      </c>
      <c r="H198" t="s">
        <v>1388</v>
      </c>
      <c r="I198" t="s">
        <v>1392</v>
      </c>
      <c r="J198" t="s">
        <v>1397</v>
      </c>
      <c r="K198" t="s">
        <v>1521</v>
      </c>
      <c r="L198">
        <v>769.89</v>
      </c>
      <c r="M198">
        <v>3</v>
      </c>
      <c r="O198">
        <v>-89.74</v>
      </c>
    </row>
    <row r="199" spans="1:15" x14ac:dyDescent="0.3">
      <c r="A199" t="s">
        <v>212</v>
      </c>
      <c r="B199" t="s">
        <v>708</v>
      </c>
      <c r="C199" t="s">
        <v>1136</v>
      </c>
      <c r="D199" t="s">
        <v>1373</v>
      </c>
      <c r="E199" t="s">
        <v>1374</v>
      </c>
      <c r="F199" t="s">
        <v>1377</v>
      </c>
      <c r="G199" t="s">
        <v>1385</v>
      </c>
      <c r="H199" t="s">
        <v>1390</v>
      </c>
      <c r="I199" t="s">
        <v>1392</v>
      </c>
      <c r="J199" t="s">
        <v>1401</v>
      </c>
      <c r="K199" t="s">
        <v>1554</v>
      </c>
      <c r="L199">
        <v>981.95</v>
      </c>
      <c r="M199">
        <v>9</v>
      </c>
      <c r="O199">
        <v>124.25</v>
      </c>
    </row>
    <row r="200" spans="1:15" x14ac:dyDescent="0.3">
      <c r="A200" t="s">
        <v>213</v>
      </c>
      <c r="B200" t="s">
        <v>709</v>
      </c>
      <c r="C200" t="s">
        <v>1098</v>
      </c>
      <c r="D200" t="s">
        <v>1364</v>
      </c>
      <c r="E200" t="s">
        <v>1376</v>
      </c>
      <c r="F200" t="s">
        <v>1380</v>
      </c>
      <c r="G200" t="s">
        <v>1383</v>
      </c>
      <c r="H200" t="s">
        <v>1388</v>
      </c>
      <c r="I200" t="s">
        <v>1392</v>
      </c>
      <c r="J200" t="s">
        <v>1397</v>
      </c>
      <c r="K200" t="s">
        <v>1555</v>
      </c>
      <c r="L200">
        <v>58.58</v>
      </c>
      <c r="M200">
        <v>4</v>
      </c>
      <c r="O200">
        <v>-3.26</v>
      </c>
    </row>
    <row r="201" spans="1:15" x14ac:dyDescent="0.3">
      <c r="A201" t="s">
        <v>214</v>
      </c>
      <c r="B201" t="s">
        <v>710</v>
      </c>
      <c r="C201" t="s">
        <v>1150</v>
      </c>
      <c r="D201" t="s">
        <v>1361</v>
      </c>
      <c r="E201" t="s">
        <v>1374</v>
      </c>
      <c r="F201" t="s">
        <v>1378</v>
      </c>
      <c r="G201" t="s">
        <v>1384</v>
      </c>
      <c r="H201" t="s">
        <v>1388</v>
      </c>
      <c r="I201" t="s">
        <v>1394</v>
      </c>
      <c r="J201" t="s">
        <v>1398</v>
      </c>
      <c r="K201" t="s">
        <v>1556</v>
      </c>
      <c r="L201">
        <v>990.68</v>
      </c>
      <c r="M201">
        <v>1</v>
      </c>
      <c r="N201">
        <v>0.2</v>
      </c>
      <c r="O201">
        <v>72.489999999999995</v>
      </c>
    </row>
    <row r="202" spans="1:15" x14ac:dyDescent="0.3">
      <c r="A202" t="s">
        <v>215</v>
      </c>
      <c r="B202" t="s">
        <v>711</v>
      </c>
      <c r="C202" t="s">
        <v>1151</v>
      </c>
      <c r="D202" t="s">
        <v>1364</v>
      </c>
      <c r="E202" t="s">
        <v>1376</v>
      </c>
      <c r="F202" t="s">
        <v>1377</v>
      </c>
      <c r="G202" t="s">
        <v>1387</v>
      </c>
      <c r="H202" t="s">
        <v>1390</v>
      </c>
      <c r="I202" t="s">
        <v>1392</v>
      </c>
      <c r="J202" t="s">
        <v>1397</v>
      </c>
      <c r="K202" t="s">
        <v>1409</v>
      </c>
      <c r="L202">
        <v>1041.04</v>
      </c>
      <c r="M202">
        <v>2</v>
      </c>
      <c r="N202">
        <v>0.1</v>
      </c>
      <c r="O202">
        <v>-98.96</v>
      </c>
    </row>
    <row r="203" spans="1:15" x14ac:dyDescent="0.3">
      <c r="A203" t="s">
        <v>216</v>
      </c>
      <c r="B203" t="s">
        <v>712</v>
      </c>
      <c r="C203" t="s">
        <v>1152</v>
      </c>
      <c r="D203" t="s">
        <v>1372</v>
      </c>
      <c r="E203" t="s">
        <v>1374</v>
      </c>
      <c r="F203" t="s">
        <v>1379</v>
      </c>
      <c r="G203" t="s">
        <v>1386</v>
      </c>
      <c r="H203" t="s">
        <v>1388</v>
      </c>
      <c r="I203" t="s">
        <v>1392</v>
      </c>
      <c r="J203" t="s">
        <v>1395</v>
      </c>
      <c r="K203" t="s">
        <v>1495</v>
      </c>
      <c r="L203">
        <v>433.96</v>
      </c>
      <c r="M203">
        <v>5</v>
      </c>
      <c r="O203">
        <v>30.11</v>
      </c>
    </row>
    <row r="204" spans="1:15" x14ac:dyDescent="0.3">
      <c r="A204" t="s">
        <v>217</v>
      </c>
      <c r="B204" t="s">
        <v>713</v>
      </c>
      <c r="C204" t="s">
        <v>1153</v>
      </c>
      <c r="D204" t="s">
        <v>1371</v>
      </c>
      <c r="E204" t="s">
        <v>1374</v>
      </c>
      <c r="F204" t="s">
        <v>1377</v>
      </c>
      <c r="G204" t="s">
        <v>1385</v>
      </c>
      <c r="H204" t="s">
        <v>1390</v>
      </c>
      <c r="I204" t="s">
        <v>1392</v>
      </c>
      <c r="J204" t="s">
        <v>1397</v>
      </c>
      <c r="K204" t="s">
        <v>1557</v>
      </c>
      <c r="L204">
        <v>1043.1199999999999</v>
      </c>
      <c r="M204">
        <v>3</v>
      </c>
      <c r="N204">
        <v>0.1</v>
      </c>
      <c r="O204">
        <v>-78.400000000000006</v>
      </c>
    </row>
    <row r="205" spans="1:15" x14ac:dyDescent="0.3">
      <c r="A205" t="s">
        <v>218</v>
      </c>
      <c r="B205" t="s">
        <v>714</v>
      </c>
      <c r="C205" t="s">
        <v>1154</v>
      </c>
      <c r="D205" t="s">
        <v>1362</v>
      </c>
      <c r="E205" t="s">
        <v>1376</v>
      </c>
      <c r="F205" t="s">
        <v>1377</v>
      </c>
      <c r="G205" t="s">
        <v>1385</v>
      </c>
      <c r="H205" t="s">
        <v>1391</v>
      </c>
      <c r="I205" t="s">
        <v>1393</v>
      </c>
      <c r="J205" t="s">
        <v>1399</v>
      </c>
      <c r="K205" t="s">
        <v>1548</v>
      </c>
      <c r="L205">
        <v>462.7</v>
      </c>
      <c r="M205">
        <v>2</v>
      </c>
      <c r="N205">
        <v>0</v>
      </c>
      <c r="O205">
        <v>0.66</v>
      </c>
    </row>
    <row r="206" spans="1:15" x14ac:dyDescent="0.3">
      <c r="A206" t="s">
        <v>219</v>
      </c>
      <c r="B206" t="s">
        <v>715</v>
      </c>
      <c r="C206" t="s">
        <v>1155</v>
      </c>
      <c r="D206" t="s">
        <v>1368</v>
      </c>
      <c r="E206" t="s">
        <v>1375</v>
      </c>
      <c r="F206" t="s">
        <v>1377</v>
      </c>
      <c r="G206" t="s">
        <v>1384</v>
      </c>
      <c r="H206" t="s">
        <v>1391</v>
      </c>
      <c r="I206" t="s">
        <v>1393</v>
      </c>
      <c r="J206" t="s">
        <v>1399</v>
      </c>
      <c r="K206" t="s">
        <v>1558</v>
      </c>
      <c r="L206">
        <v>769.11</v>
      </c>
      <c r="M206">
        <v>6</v>
      </c>
      <c r="N206">
        <v>0</v>
      </c>
      <c r="O206">
        <v>152.16</v>
      </c>
    </row>
    <row r="207" spans="1:15" x14ac:dyDescent="0.3">
      <c r="A207" t="s">
        <v>220</v>
      </c>
      <c r="B207" t="s">
        <v>716</v>
      </c>
      <c r="C207" t="s">
        <v>1156</v>
      </c>
      <c r="D207" t="s">
        <v>1369</v>
      </c>
      <c r="E207" t="s">
        <v>1374</v>
      </c>
      <c r="F207" t="s">
        <v>1377</v>
      </c>
      <c r="G207" t="s">
        <v>1381</v>
      </c>
      <c r="H207" t="s">
        <v>1388</v>
      </c>
      <c r="I207" t="s">
        <v>1393</v>
      </c>
      <c r="J207" t="s">
        <v>1400</v>
      </c>
      <c r="K207" t="s">
        <v>1559</v>
      </c>
      <c r="L207">
        <v>688.05</v>
      </c>
      <c r="M207">
        <v>8</v>
      </c>
      <c r="N207">
        <v>0.15</v>
      </c>
      <c r="O207">
        <v>170</v>
      </c>
    </row>
    <row r="208" spans="1:15" x14ac:dyDescent="0.3">
      <c r="A208" t="s">
        <v>221</v>
      </c>
      <c r="B208" t="s">
        <v>717</v>
      </c>
      <c r="C208" t="s">
        <v>1157</v>
      </c>
      <c r="D208" t="s">
        <v>1361</v>
      </c>
      <c r="E208" t="s">
        <v>1376</v>
      </c>
      <c r="F208" t="s">
        <v>1379</v>
      </c>
      <c r="G208" t="s">
        <v>1381</v>
      </c>
      <c r="H208" t="s">
        <v>1391</v>
      </c>
      <c r="I208" t="s">
        <v>1392</v>
      </c>
      <c r="J208" t="s">
        <v>1397</v>
      </c>
      <c r="K208" t="s">
        <v>1560</v>
      </c>
      <c r="L208">
        <v>258.74</v>
      </c>
      <c r="M208">
        <v>3</v>
      </c>
      <c r="N208">
        <v>0.15</v>
      </c>
      <c r="O208">
        <v>-31.18</v>
      </c>
    </row>
    <row r="209" spans="1:15" x14ac:dyDescent="0.3">
      <c r="A209" t="s">
        <v>222</v>
      </c>
      <c r="B209" t="s">
        <v>718</v>
      </c>
      <c r="C209" t="s">
        <v>1158</v>
      </c>
      <c r="D209" t="s">
        <v>1369</v>
      </c>
      <c r="E209" t="s">
        <v>1375</v>
      </c>
      <c r="F209" t="s">
        <v>1377</v>
      </c>
      <c r="G209" t="s">
        <v>1381</v>
      </c>
      <c r="H209" t="s">
        <v>1390</v>
      </c>
      <c r="I209" t="s">
        <v>1392</v>
      </c>
      <c r="J209" t="s">
        <v>1397</v>
      </c>
      <c r="K209" t="s">
        <v>1561</v>
      </c>
      <c r="L209">
        <v>758.21</v>
      </c>
      <c r="M209">
        <v>4</v>
      </c>
      <c r="N209">
        <v>0.2</v>
      </c>
      <c r="O209">
        <v>96.86</v>
      </c>
    </row>
    <row r="210" spans="1:15" x14ac:dyDescent="0.3">
      <c r="A210" t="s">
        <v>223</v>
      </c>
      <c r="B210" t="s">
        <v>719</v>
      </c>
      <c r="C210" t="s">
        <v>1159</v>
      </c>
      <c r="D210" t="s">
        <v>1368</v>
      </c>
      <c r="E210" t="s">
        <v>1375</v>
      </c>
      <c r="F210" t="s">
        <v>1378</v>
      </c>
      <c r="G210" t="s">
        <v>1385</v>
      </c>
      <c r="H210" t="s">
        <v>1388</v>
      </c>
      <c r="I210" t="s">
        <v>1393</v>
      </c>
      <c r="J210" t="s">
        <v>1399</v>
      </c>
      <c r="K210" t="s">
        <v>1517</v>
      </c>
      <c r="L210">
        <v>30.96</v>
      </c>
      <c r="M210">
        <v>6</v>
      </c>
      <c r="N210">
        <v>0</v>
      </c>
      <c r="O210">
        <v>9.1</v>
      </c>
    </row>
    <row r="211" spans="1:15" x14ac:dyDescent="0.3">
      <c r="A211" t="s">
        <v>224</v>
      </c>
      <c r="B211" t="s">
        <v>548</v>
      </c>
      <c r="C211" t="s">
        <v>1160</v>
      </c>
      <c r="D211" t="s">
        <v>1363</v>
      </c>
      <c r="E211" t="s">
        <v>1374</v>
      </c>
      <c r="F211" t="s">
        <v>1380</v>
      </c>
      <c r="G211" t="s">
        <v>1383</v>
      </c>
      <c r="H211" t="s">
        <v>1390</v>
      </c>
      <c r="I211" t="s">
        <v>1392</v>
      </c>
      <c r="J211" t="s">
        <v>1397</v>
      </c>
      <c r="K211" t="s">
        <v>1562</v>
      </c>
      <c r="L211">
        <v>453.72</v>
      </c>
      <c r="M211">
        <v>5</v>
      </c>
      <c r="N211">
        <v>0.1</v>
      </c>
      <c r="O211">
        <v>-3.92</v>
      </c>
    </row>
    <row r="212" spans="1:15" x14ac:dyDescent="0.3">
      <c r="A212" t="s">
        <v>225</v>
      </c>
      <c r="B212" t="s">
        <v>720</v>
      </c>
      <c r="C212" t="s">
        <v>997</v>
      </c>
      <c r="D212" t="s">
        <v>1369</v>
      </c>
      <c r="E212" t="s">
        <v>1375</v>
      </c>
      <c r="F212" t="s">
        <v>1380</v>
      </c>
      <c r="G212" t="s">
        <v>1383</v>
      </c>
      <c r="H212" t="s">
        <v>1389</v>
      </c>
      <c r="I212" t="s">
        <v>1393</v>
      </c>
      <c r="J212" t="s">
        <v>1396</v>
      </c>
      <c r="K212" t="s">
        <v>1563</v>
      </c>
      <c r="L212">
        <v>198.62</v>
      </c>
      <c r="M212">
        <v>7</v>
      </c>
      <c r="O212">
        <v>28.46</v>
      </c>
    </row>
    <row r="213" spans="1:15" x14ac:dyDescent="0.3">
      <c r="A213" t="s">
        <v>226</v>
      </c>
      <c r="B213" t="s">
        <v>721</v>
      </c>
      <c r="C213" t="s">
        <v>1161</v>
      </c>
      <c r="D213" t="s">
        <v>1360</v>
      </c>
      <c r="E213" t="s">
        <v>1374</v>
      </c>
      <c r="F213" t="s">
        <v>1380</v>
      </c>
      <c r="G213" t="s">
        <v>1386</v>
      </c>
      <c r="H213" t="s">
        <v>1391</v>
      </c>
      <c r="I213" t="s">
        <v>1392</v>
      </c>
      <c r="J213" t="s">
        <v>1401</v>
      </c>
      <c r="K213" t="s">
        <v>1439</v>
      </c>
      <c r="L213">
        <v>346.82</v>
      </c>
      <c r="M213">
        <v>2</v>
      </c>
      <c r="N213">
        <v>0.1</v>
      </c>
      <c r="O213">
        <v>26.6</v>
      </c>
    </row>
    <row r="214" spans="1:15" x14ac:dyDescent="0.3">
      <c r="A214" t="s">
        <v>227</v>
      </c>
      <c r="B214" t="s">
        <v>576</v>
      </c>
      <c r="C214" t="s">
        <v>1162</v>
      </c>
      <c r="D214" t="s">
        <v>1373</v>
      </c>
      <c r="E214" t="s">
        <v>1375</v>
      </c>
      <c r="F214" t="s">
        <v>1378</v>
      </c>
      <c r="G214" t="s">
        <v>1385</v>
      </c>
      <c r="H214" t="s">
        <v>1388</v>
      </c>
      <c r="I214" t="s">
        <v>1393</v>
      </c>
      <c r="J214" t="s">
        <v>1400</v>
      </c>
      <c r="K214" t="s">
        <v>1564</v>
      </c>
      <c r="L214">
        <v>902.46</v>
      </c>
      <c r="M214">
        <v>5</v>
      </c>
      <c r="N214">
        <v>0</v>
      </c>
      <c r="O214">
        <v>173.18</v>
      </c>
    </row>
    <row r="215" spans="1:15" x14ac:dyDescent="0.3">
      <c r="A215" t="s">
        <v>228</v>
      </c>
      <c r="B215" t="s">
        <v>722</v>
      </c>
      <c r="C215" t="s">
        <v>1039</v>
      </c>
      <c r="D215" t="s">
        <v>1368</v>
      </c>
      <c r="E215" t="s">
        <v>1375</v>
      </c>
      <c r="F215" t="s">
        <v>1380</v>
      </c>
      <c r="G215" t="s">
        <v>1383</v>
      </c>
      <c r="H215" t="s">
        <v>1388</v>
      </c>
      <c r="I215" t="s">
        <v>1394</v>
      </c>
      <c r="J215" t="s">
        <v>1402</v>
      </c>
      <c r="K215" t="s">
        <v>1500</v>
      </c>
      <c r="L215">
        <v>476.47</v>
      </c>
      <c r="M215">
        <v>10</v>
      </c>
      <c r="N215">
        <v>0.2</v>
      </c>
      <c r="O215">
        <v>-8.24</v>
      </c>
    </row>
    <row r="216" spans="1:15" x14ac:dyDescent="0.3">
      <c r="A216" t="s">
        <v>229</v>
      </c>
      <c r="B216" t="s">
        <v>723</v>
      </c>
      <c r="C216" t="s">
        <v>1163</v>
      </c>
      <c r="D216" t="s">
        <v>1360</v>
      </c>
      <c r="E216" t="s">
        <v>1376</v>
      </c>
      <c r="F216" t="s">
        <v>1377</v>
      </c>
      <c r="G216" t="s">
        <v>1381</v>
      </c>
      <c r="H216" t="s">
        <v>1390</v>
      </c>
      <c r="I216" t="s">
        <v>1392</v>
      </c>
      <c r="J216" t="s">
        <v>1401</v>
      </c>
      <c r="K216" t="s">
        <v>1565</v>
      </c>
      <c r="L216">
        <v>1139.44</v>
      </c>
      <c r="M216">
        <v>7</v>
      </c>
      <c r="O216">
        <v>-64.67</v>
      </c>
    </row>
    <row r="217" spans="1:15" x14ac:dyDescent="0.3">
      <c r="A217" t="s">
        <v>230</v>
      </c>
      <c r="B217" t="s">
        <v>724</v>
      </c>
      <c r="C217" t="s">
        <v>1090</v>
      </c>
      <c r="D217" t="s">
        <v>1366</v>
      </c>
      <c r="E217" t="s">
        <v>1374</v>
      </c>
      <c r="F217" t="s">
        <v>1377</v>
      </c>
      <c r="G217" t="s">
        <v>1382</v>
      </c>
      <c r="H217" t="s">
        <v>1390</v>
      </c>
      <c r="I217" t="s">
        <v>1392</v>
      </c>
      <c r="J217" t="s">
        <v>1395</v>
      </c>
      <c r="K217" t="s">
        <v>1566</v>
      </c>
      <c r="L217">
        <v>1106.69</v>
      </c>
      <c r="M217">
        <v>3</v>
      </c>
      <c r="O217">
        <v>-40.53</v>
      </c>
    </row>
    <row r="218" spans="1:15" x14ac:dyDescent="0.3">
      <c r="A218" t="s">
        <v>231</v>
      </c>
      <c r="B218" t="s">
        <v>725</v>
      </c>
      <c r="C218" t="s">
        <v>1164</v>
      </c>
      <c r="D218" t="s">
        <v>1363</v>
      </c>
      <c r="E218" t="s">
        <v>1375</v>
      </c>
      <c r="F218" t="s">
        <v>1378</v>
      </c>
      <c r="G218" t="s">
        <v>1382</v>
      </c>
      <c r="H218" t="s">
        <v>1388</v>
      </c>
      <c r="I218" t="s">
        <v>1394</v>
      </c>
      <c r="J218" t="s">
        <v>1402</v>
      </c>
      <c r="K218" t="s">
        <v>1567</v>
      </c>
      <c r="L218">
        <v>554.98</v>
      </c>
      <c r="M218">
        <v>10</v>
      </c>
      <c r="N218">
        <v>0</v>
      </c>
      <c r="O218">
        <v>-25.17</v>
      </c>
    </row>
    <row r="219" spans="1:15" x14ac:dyDescent="0.3">
      <c r="A219" t="s">
        <v>232</v>
      </c>
      <c r="B219" t="s">
        <v>726</v>
      </c>
      <c r="C219" t="s">
        <v>1165</v>
      </c>
      <c r="D219" t="s">
        <v>1362</v>
      </c>
      <c r="E219" t="s">
        <v>1375</v>
      </c>
      <c r="F219" t="s">
        <v>1380</v>
      </c>
      <c r="G219" t="s">
        <v>1384</v>
      </c>
      <c r="H219" t="s">
        <v>1389</v>
      </c>
      <c r="I219" t="s">
        <v>1393</v>
      </c>
      <c r="J219" t="s">
        <v>1396</v>
      </c>
      <c r="K219" t="s">
        <v>1539</v>
      </c>
      <c r="L219">
        <v>943.92</v>
      </c>
      <c r="M219">
        <v>5</v>
      </c>
      <c r="N219">
        <v>0.1</v>
      </c>
      <c r="O219">
        <v>-13.28</v>
      </c>
    </row>
    <row r="220" spans="1:15" x14ac:dyDescent="0.3">
      <c r="A220" t="s">
        <v>233</v>
      </c>
      <c r="B220" t="s">
        <v>727</v>
      </c>
      <c r="C220" t="s">
        <v>1166</v>
      </c>
      <c r="D220" t="s">
        <v>1366</v>
      </c>
      <c r="E220" t="s">
        <v>1374</v>
      </c>
      <c r="F220" t="s">
        <v>1378</v>
      </c>
      <c r="G220" t="s">
        <v>1384</v>
      </c>
      <c r="H220" t="s">
        <v>1390</v>
      </c>
      <c r="I220" t="s">
        <v>1394</v>
      </c>
      <c r="J220" t="s">
        <v>1398</v>
      </c>
      <c r="K220" t="s">
        <v>1568</v>
      </c>
      <c r="L220">
        <v>1170.56</v>
      </c>
      <c r="M220">
        <v>2</v>
      </c>
      <c r="N220">
        <v>0.2</v>
      </c>
      <c r="O220">
        <v>32.31</v>
      </c>
    </row>
    <row r="221" spans="1:15" x14ac:dyDescent="0.3">
      <c r="A221" t="s">
        <v>234</v>
      </c>
      <c r="B221" t="s">
        <v>688</v>
      </c>
      <c r="C221" t="s">
        <v>1167</v>
      </c>
      <c r="D221" t="s">
        <v>1363</v>
      </c>
      <c r="E221" t="s">
        <v>1376</v>
      </c>
      <c r="F221" t="s">
        <v>1379</v>
      </c>
      <c r="G221" t="s">
        <v>1385</v>
      </c>
      <c r="H221" t="s">
        <v>1390</v>
      </c>
      <c r="I221" t="s">
        <v>1393</v>
      </c>
      <c r="J221" t="s">
        <v>1396</v>
      </c>
      <c r="K221" t="s">
        <v>1569</v>
      </c>
      <c r="L221">
        <v>872.88</v>
      </c>
      <c r="M221">
        <v>4</v>
      </c>
      <c r="O221">
        <v>-173.46</v>
      </c>
    </row>
    <row r="222" spans="1:15" x14ac:dyDescent="0.3">
      <c r="A222" t="s">
        <v>235</v>
      </c>
      <c r="B222" t="s">
        <v>728</v>
      </c>
      <c r="C222" t="s">
        <v>1168</v>
      </c>
      <c r="D222" t="s">
        <v>1372</v>
      </c>
      <c r="E222" t="s">
        <v>1375</v>
      </c>
      <c r="F222" t="s">
        <v>1379</v>
      </c>
      <c r="G222" t="s">
        <v>1381</v>
      </c>
      <c r="H222" t="s">
        <v>1388</v>
      </c>
      <c r="I222" t="s">
        <v>1393</v>
      </c>
      <c r="J222" t="s">
        <v>1396</v>
      </c>
      <c r="K222" t="s">
        <v>1569</v>
      </c>
      <c r="L222">
        <v>893.99</v>
      </c>
      <c r="M222">
        <v>7</v>
      </c>
      <c r="N222">
        <v>0.1</v>
      </c>
      <c r="O222">
        <v>-34.950000000000003</v>
      </c>
    </row>
    <row r="223" spans="1:15" x14ac:dyDescent="0.3">
      <c r="A223" t="s">
        <v>236</v>
      </c>
      <c r="B223" t="s">
        <v>729</v>
      </c>
      <c r="C223" t="s">
        <v>1169</v>
      </c>
      <c r="D223" t="s">
        <v>1371</v>
      </c>
      <c r="E223" t="s">
        <v>1374</v>
      </c>
      <c r="F223" t="s">
        <v>1377</v>
      </c>
      <c r="G223" t="s">
        <v>1381</v>
      </c>
      <c r="H223" t="s">
        <v>1391</v>
      </c>
      <c r="I223" t="s">
        <v>1392</v>
      </c>
      <c r="J223" t="s">
        <v>1397</v>
      </c>
      <c r="K223" t="s">
        <v>1570</v>
      </c>
      <c r="L223">
        <v>101.33</v>
      </c>
      <c r="M223">
        <v>8</v>
      </c>
      <c r="N223">
        <v>0.15</v>
      </c>
      <c r="O223">
        <v>18.920000000000002</v>
      </c>
    </row>
    <row r="224" spans="1:15" x14ac:dyDescent="0.3">
      <c r="A224" t="s">
        <v>237</v>
      </c>
      <c r="B224" t="s">
        <v>730</v>
      </c>
      <c r="C224" t="s">
        <v>1170</v>
      </c>
      <c r="D224" t="s">
        <v>1370</v>
      </c>
      <c r="E224" t="s">
        <v>1374</v>
      </c>
      <c r="F224" t="s">
        <v>1378</v>
      </c>
      <c r="G224" t="s">
        <v>1387</v>
      </c>
      <c r="H224" t="s">
        <v>1388</v>
      </c>
      <c r="I224" t="s">
        <v>1394</v>
      </c>
      <c r="J224" t="s">
        <v>1398</v>
      </c>
      <c r="K224" t="s">
        <v>1571</v>
      </c>
      <c r="L224">
        <v>754.81</v>
      </c>
      <c r="M224">
        <v>8</v>
      </c>
      <c r="N224">
        <v>0.15</v>
      </c>
      <c r="O224">
        <v>72.349999999999994</v>
      </c>
    </row>
    <row r="225" spans="1:15" x14ac:dyDescent="0.3">
      <c r="A225" t="s">
        <v>238</v>
      </c>
      <c r="B225" t="s">
        <v>731</v>
      </c>
      <c r="C225" t="s">
        <v>1171</v>
      </c>
      <c r="D225" t="s">
        <v>1365</v>
      </c>
      <c r="E225" t="s">
        <v>1374</v>
      </c>
      <c r="F225" t="s">
        <v>1379</v>
      </c>
      <c r="G225" t="s">
        <v>1381</v>
      </c>
      <c r="H225" t="s">
        <v>1390</v>
      </c>
      <c r="I225" t="s">
        <v>1393</v>
      </c>
      <c r="J225" t="s">
        <v>1399</v>
      </c>
      <c r="K225" t="s">
        <v>1411</v>
      </c>
      <c r="L225">
        <v>770.41</v>
      </c>
      <c r="M225">
        <v>1</v>
      </c>
      <c r="N225">
        <v>0.15</v>
      </c>
      <c r="O225">
        <v>-153.52000000000001</v>
      </c>
    </row>
    <row r="226" spans="1:15" x14ac:dyDescent="0.3">
      <c r="A226" t="s">
        <v>239</v>
      </c>
      <c r="B226" t="s">
        <v>732</v>
      </c>
      <c r="C226" t="s">
        <v>1172</v>
      </c>
      <c r="D226" t="s">
        <v>1360</v>
      </c>
      <c r="E226" t="s">
        <v>1374</v>
      </c>
      <c r="F226" t="s">
        <v>1379</v>
      </c>
      <c r="G226" t="s">
        <v>1385</v>
      </c>
      <c r="H226" t="s">
        <v>1388</v>
      </c>
      <c r="I226" t="s">
        <v>1394</v>
      </c>
      <c r="J226" t="s">
        <v>1402</v>
      </c>
      <c r="K226" t="s">
        <v>1476</v>
      </c>
      <c r="L226">
        <v>1167.6199999999999</v>
      </c>
      <c r="M226">
        <v>3</v>
      </c>
      <c r="N226">
        <v>0.15</v>
      </c>
      <c r="O226">
        <v>-179.21</v>
      </c>
    </row>
    <row r="227" spans="1:15" x14ac:dyDescent="0.3">
      <c r="A227" t="s">
        <v>240</v>
      </c>
      <c r="B227" t="s">
        <v>733</v>
      </c>
      <c r="C227" t="s">
        <v>1173</v>
      </c>
      <c r="D227" t="s">
        <v>1363</v>
      </c>
      <c r="E227" t="s">
        <v>1376</v>
      </c>
      <c r="F227" t="s">
        <v>1379</v>
      </c>
      <c r="G227" t="s">
        <v>1386</v>
      </c>
      <c r="H227" t="s">
        <v>1391</v>
      </c>
      <c r="I227" t="s">
        <v>1392</v>
      </c>
      <c r="J227" t="s">
        <v>1395</v>
      </c>
      <c r="K227" t="s">
        <v>1572</v>
      </c>
      <c r="L227">
        <v>987.56</v>
      </c>
      <c r="M227">
        <v>2</v>
      </c>
      <c r="O227">
        <v>82.87</v>
      </c>
    </row>
    <row r="228" spans="1:15" x14ac:dyDescent="0.3">
      <c r="A228" t="s">
        <v>241</v>
      </c>
      <c r="B228" t="s">
        <v>734</v>
      </c>
      <c r="C228" t="s">
        <v>1174</v>
      </c>
      <c r="D228" t="s">
        <v>1369</v>
      </c>
      <c r="E228" t="s">
        <v>1375</v>
      </c>
      <c r="F228" t="s">
        <v>1378</v>
      </c>
      <c r="G228" t="s">
        <v>1385</v>
      </c>
      <c r="H228" t="s">
        <v>1389</v>
      </c>
      <c r="I228" t="s">
        <v>1394</v>
      </c>
      <c r="J228" t="s">
        <v>1403</v>
      </c>
      <c r="K228" t="s">
        <v>1573</v>
      </c>
      <c r="L228">
        <v>340.91</v>
      </c>
      <c r="M228">
        <v>2</v>
      </c>
      <c r="N228">
        <v>0.1</v>
      </c>
      <c r="O228">
        <v>-44.98</v>
      </c>
    </row>
    <row r="229" spans="1:15" x14ac:dyDescent="0.3">
      <c r="A229" t="s">
        <v>242</v>
      </c>
      <c r="B229" t="s">
        <v>735</v>
      </c>
      <c r="C229" t="s">
        <v>1175</v>
      </c>
      <c r="D229" t="s">
        <v>1369</v>
      </c>
      <c r="E229" t="s">
        <v>1375</v>
      </c>
      <c r="F229" t="s">
        <v>1379</v>
      </c>
      <c r="G229" t="s">
        <v>1386</v>
      </c>
      <c r="H229" t="s">
        <v>1388</v>
      </c>
      <c r="I229" t="s">
        <v>1393</v>
      </c>
      <c r="J229" t="s">
        <v>1399</v>
      </c>
      <c r="K229" t="s">
        <v>1574</v>
      </c>
      <c r="L229">
        <v>1158.27</v>
      </c>
      <c r="M229">
        <v>4</v>
      </c>
      <c r="N229">
        <v>0.2</v>
      </c>
      <c r="O229">
        <v>-53.1</v>
      </c>
    </row>
    <row r="230" spans="1:15" x14ac:dyDescent="0.3">
      <c r="A230" t="s">
        <v>243</v>
      </c>
      <c r="B230" t="s">
        <v>736</v>
      </c>
      <c r="C230" t="s">
        <v>1072</v>
      </c>
      <c r="D230" t="s">
        <v>1372</v>
      </c>
      <c r="E230" t="s">
        <v>1375</v>
      </c>
      <c r="F230" t="s">
        <v>1380</v>
      </c>
      <c r="G230" t="s">
        <v>1385</v>
      </c>
      <c r="H230" t="s">
        <v>1389</v>
      </c>
      <c r="I230" t="s">
        <v>1392</v>
      </c>
      <c r="J230" t="s">
        <v>1401</v>
      </c>
      <c r="K230" t="s">
        <v>1427</v>
      </c>
      <c r="L230">
        <v>859.17</v>
      </c>
      <c r="M230">
        <v>6</v>
      </c>
      <c r="N230">
        <v>0.2</v>
      </c>
      <c r="O230">
        <v>48.74</v>
      </c>
    </row>
    <row r="231" spans="1:15" x14ac:dyDescent="0.3">
      <c r="A231" t="s">
        <v>244</v>
      </c>
      <c r="B231" t="s">
        <v>546</v>
      </c>
      <c r="C231" t="s">
        <v>1153</v>
      </c>
      <c r="D231" t="s">
        <v>1363</v>
      </c>
      <c r="E231" t="s">
        <v>1376</v>
      </c>
      <c r="F231" t="s">
        <v>1379</v>
      </c>
      <c r="G231" t="s">
        <v>1382</v>
      </c>
      <c r="H231" t="s">
        <v>1388</v>
      </c>
      <c r="I231" t="s">
        <v>1392</v>
      </c>
      <c r="J231" t="s">
        <v>1401</v>
      </c>
      <c r="K231" t="s">
        <v>1575</v>
      </c>
      <c r="L231">
        <v>565.21</v>
      </c>
      <c r="M231">
        <v>3</v>
      </c>
      <c r="N231">
        <v>0</v>
      </c>
      <c r="O231">
        <v>-109.66</v>
      </c>
    </row>
    <row r="232" spans="1:15" x14ac:dyDescent="0.3">
      <c r="A232" t="s">
        <v>245</v>
      </c>
      <c r="B232" t="s">
        <v>737</v>
      </c>
      <c r="C232" t="s">
        <v>1115</v>
      </c>
      <c r="D232" t="s">
        <v>1371</v>
      </c>
      <c r="E232" t="s">
        <v>1375</v>
      </c>
      <c r="F232" t="s">
        <v>1377</v>
      </c>
      <c r="G232" t="s">
        <v>1381</v>
      </c>
      <c r="H232" t="s">
        <v>1390</v>
      </c>
      <c r="I232" t="s">
        <v>1392</v>
      </c>
      <c r="J232" t="s">
        <v>1401</v>
      </c>
      <c r="K232" t="s">
        <v>1576</v>
      </c>
      <c r="L232">
        <v>1196.6500000000001</v>
      </c>
      <c r="M232">
        <v>4</v>
      </c>
      <c r="N232">
        <v>0.2</v>
      </c>
      <c r="O232">
        <v>244.89</v>
      </c>
    </row>
    <row r="233" spans="1:15" x14ac:dyDescent="0.3">
      <c r="A233" t="s">
        <v>246</v>
      </c>
      <c r="B233" t="s">
        <v>738</v>
      </c>
      <c r="C233" t="s">
        <v>1176</v>
      </c>
      <c r="D233" t="s">
        <v>1372</v>
      </c>
      <c r="E233" t="s">
        <v>1376</v>
      </c>
      <c r="F233" t="s">
        <v>1378</v>
      </c>
      <c r="G233" t="s">
        <v>1381</v>
      </c>
      <c r="H233" t="s">
        <v>1390</v>
      </c>
      <c r="I233" t="s">
        <v>1394</v>
      </c>
      <c r="J233" t="s">
        <v>1402</v>
      </c>
      <c r="K233" t="s">
        <v>1577</v>
      </c>
      <c r="L233">
        <v>471.62</v>
      </c>
      <c r="M233">
        <v>7</v>
      </c>
      <c r="N233">
        <v>0.1</v>
      </c>
      <c r="O233">
        <v>-10.86</v>
      </c>
    </row>
    <row r="234" spans="1:15" x14ac:dyDescent="0.3">
      <c r="A234" t="s">
        <v>247</v>
      </c>
      <c r="B234" t="s">
        <v>739</v>
      </c>
      <c r="C234" t="s">
        <v>1177</v>
      </c>
      <c r="D234" t="s">
        <v>1370</v>
      </c>
      <c r="E234" t="s">
        <v>1374</v>
      </c>
      <c r="F234" t="s">
        <v>1378</v>
      </c>
      <c r="G234" t="s">
        <v>1382</v>
      </c>
      <c r="H234" t="s">
        <v>1388</v>
      </c>
      <c r="I234" t="s">
        <v>1394</v>
      </c>
      <c r="J234" t="s">
        <v>1398</v>
      </c>
      <c r="K234" t="s">
        <v>1578</v>
      </c>
      <c r="L234">
        <v>585.26</v>
      </c>
      <c r="M234">
        <v>2</v>
      </c>
      <c r="N234">
        <v>0.15</v>
      </c>
      <c r="O234">
        <v>-4.97</v>
      </c>
    </row>
    <row r="235" spans="1:15" x14ac:dyDescent="0.3">
      <c r="A235" t="s">
        <v>248</v>
      </c>
      <c r="B235" t="s">
        <v>740</v>
      </c>
      <c r="C235" t="s">
        <v>980</v>
      </c>
      <c r="D235" t="s">
        <v>1371</v>
      </c>
      <c r="E235" t="s">
        <v>1375</v>
      </c>
      <c r="F235" t="s">
        <v>1379</v>
      </c>
      <c r="G235" t="s">
        <v>1383</v>
      </c>
      <c r="H235" t="s">
        <v>1390</v>
      </c>
      <c r="I235" t="s">
        <v>1394</v>
      </c>
      <c r="J235" t="s">
        <v>1398</v>
      </c>
      <c r="K235" t="s">
        <v>1579</v>
      </c>
      <c r="L235">
        <v>942.09</v>
      </c>
      <c r="M235">
        <v>6</v>
      </c>
      <c r="O235">
        <v>48.23</v>
      </c>
    </row>
    <row r="236" spans="1:15" x14ac:dyDescent="0.3">
      <c r="A236" t="s">
        <v>249</v>
      </c>
      <c r="B236" t="s">
        <v>741</v>
      </c>
      <c r="C236" t="s">
        <v>1178</v>
      </c>
      <c r="D236" t="s">
        <v>1370</v>
      </c>
      <c r="E236" t="s">
        <v>1375</v>
      </c>
      <c r="F236" t="s">
        <v>1379</v>
      </c>
      <c r="G236" t="s">
        <v>1383</v>
      </c>
      <c r="H236" t="s">
        <v>1388</v>
      </c>
      <c r="I236" t="s">
        <v>1392</v>
      </c>
      <c r="J236" t="s">
        <v>1397</v>
      </c>
      <c r="K236" t="s">
        <v>1460</v>
      </c>
      <c r="L236">
        <v>644.73</v>
      </c>
      <c r="M236">
        <v>10</v>
      </c>
      <c r="N236">
        <v>0.1</v>
      </c>
      <c r="O236">
        <v>185.03</v>
      </c>
    </row>
    <row r="237" spans="1:15" x14ac:dyDescent="0.3">
      <c r="A237" t="s">
        <v>250</v>
      </c>
      <c r="B237" t="s">
        <v>554</v>
      </c>
      <c r="C237" t="s">
        <v>1179</v>
      </c>
      <c r="D237" t="s">
        <v>1362</v>
      </c>
      <c r="E237" t="s">
        <v>1375</v>
      </c>
      <c r="F237" t="s">
        <v>1379</v>
      </c>
      <c r="G237" t="s">
        <v>1383</v>
      </c>
      <c r="H237" t="s">
        <v>1390</v>
      </c>
      <c r="I237" t="s">
        <v>1394</v>
      </c>
      <c r="J237" t="s">
        <v>1403</v>
      </c>
      <c r="K237" t="s">
        <v>1580</v>
      </c>
      <c r="L237">
        <v>1123.54</v>
      </c>
      <c r="M237">
        <v>3</v>
      </c>
      <c r="N237">
        <v>0.1</v>
      </c>
      <c r="O237">
        <v>-91.82</v>
      </c>
    </row>
    <row r="238" spans="1:15" x14ac:dyDescent="0.3">
      <c r="A238" t="s">
        <v>251</v>
      </c>
      <c r="B238" t="s">
        <v>580</v>
      </c>
      <c r="C238" t="s">
        <v>1180</v>
      </c>
      <c r="D238" t="s">
        <v>1363</v>
      </c>
      <c r="E238" t="s">
        <v>1374</v>
      </c>
      <c r="F238" t="s">
        <v>1377</v>
      </c>
      <c r="G238" t="s">
        <v>1381</v>
      </c>
      <c r="H238" t="s">
        <v>1391</v>
      </c>
      <c r="I238" t="s">
        <v>1393</v>
      </c>
      <c r="J238" t="s">
        <v>1399</v>
      </c>
      <c r="K238" t="s">
        <v>1581</v>
      </c>
      <c r="L238">
        <v>227.16</v>
      </c>
      <c r="M238">
        <v>1</v>
      </c>
      <c r="N238">
        <v>0</v>
      </c>
      <c r="O238">
        <v>-39.049999999999997</v>
      </c>
    </row>
    <row r="239" spans="1:15" x14ac:dyDescent="0.3">
      <c r="A239" t="s">
        <v>252</v>
      </c>
      <c r="B239" t="s">
        <v>742</v>
      </c>
      <c r="C239" t="s">
        <v>1181</v>
      </c>
      <c r="D239" t="s">
        <v>1363</v>
      </c>
      <c r="E239" t="s">
        <v>1374</v>
      </c>
      <c r="F239" t="s">
        <v>1379</v>
      </c>
      <c r="G239" t="s">
        <v>1381</v>
      </c>
      <c r="H239" t="s">
        <v>1391</v>
      </c>
      <c r="I239" t="s">
        <v>1394</v>
      </c>
      <c r="J239" t="s">
        <v>1398</v>
      </c>
      <c r="K239" t="s">
        <v>1416</v>
      </c>
      <c r="L239">
        <v>229.4</v>
      </c>
      <c r="M239">
        <v>6</v>
      </c>
      <c r="N239">
        <v>0</v>
      </c>
      <c r="O239">
        <v>-43.37</v>
      </c>
    </row>
    <row r="240" spans="1:15" x14ac:dyDescent="0.3">
      <c r="A240" t="s">
        <v>253</v>
      </c>
      <c r="B240" t="s">
        <v>743</v>
      </c>
      <c r="C240" t="s">
        <v>1112</v>
      </c>
      <c r="D240" t="s">
        <v>1365</v>
      </c>
      <c r="E240" t="s">
        <v>1376</v>
      </c>
      <c r="F240" t="s">
        <v>1379</v>
      </c>
      <c r="G240" t="s">
        <v>1387</v>
      </c>
      <c r="H240" t="s">
        <v>1391</v>
      </c>
      <c r="I240" t="s">
        <v>1393</v>
      </c>
      <c r="J240" t="s">
        <v>1400</v>
      </c>
      <c r="K240" t="s">
        <v>1582</v>
      </c>
      <c r="L240">
        <v>417.14</v>
      </c>
      <c r="M240">
        <v>6</v>
      </c>
      <c r="N240">
        <v>0.1</v>
      </c>
      <c r="O240">
        <v>120.11</v>
      </c>
    </row>
    <row r="241" spans="1:15" x14ac:dyDescent="0.3">
      <c r="A241" t="s">
        <v>254</v>
      </c>
      <c r="B241" t="s">
        <v>744</v>
      </c>
      <c r="C241" t="s">
        <v>1182</v>
      </c>
      <c r="D241" t="s">
        <v>1360</v>
      </c>
      <c r="E241" t="s">
        <v>1374</v>
      </c>
      <c r="F241" t="s">
        <v>1380</v>
      </c>
      <c r="G241" t="s">
        <v>1387</v>
      </c>
      <c r="H241" t="s">
        <v>1391</v>
      </c>
      <c r="I241" t="s">
        <v>1392</v>
      </c>
      <c r="J241" t="s">
        <v>1397</v>
      </c>
      <c r="K241" t="s">
        <v>1583</v>
      </c>
      <c r="L241">
        <v>382.05</v>
      </c>
      <c r="M241">
        <v>5</v>
      </c>
      <c r="N241">
        <v>0.1</v>
      </c>
      <c r="O241">
        <v>-42.46</v>
      </c>
    </row>
    <row r="242" spans="1:15" x14ac:dyDescent="0.3">
      <c r="A242" t="s">
        <v>255</v>
      </c>
      <c r="B242" t="s">
        <v>745</v>
      </c>
      <c r="C242" t="s">
        <v>1183</v>
      </c>
      <c r="D242" t="s">
        <v>1370</v>
      </c>
      <c r="E242" t="s">
        <v>1375</v>
      </c>
      <c r="F242" t="s">
        <v>1379</v>
      </c>
      <c r="G242" t="s">
        <v>1385</v>
      </c>
      <c r="H242" t="s">
        <v>1388</v>
      </c>
      <c r="I242" t="s">
        <v>1392</v>
      </c>
      <c r="J242" t="s">
        <v>1397</v>
      </c>
      <c r="K242" t="s">
        <v>1442</v>
      </c>
      <c r="L242">
        <v>185.96</v>
      </c>
      <c r="M242">
        <v>2</v>
      </c>
      <c r="N242">
        <v>0.1</v>
      </c>
      <c r="O242">
        <v>-4.95</v>
      </c>
    </row>
    <row r="243" spans="1:15" x14ac:dyDescent="0.3">
      <c r="A243" t="s">
        <v>256</v>
      </c>
      <c r="B243" t="s">
        <v>746</v>
      </c>
      <c r="C243" t="s">
        <v>1184</v>
      </c>
      <c r="D243" t="s">
        <v>1367</v>
      </c>
      <c r="E243" t="s">
        <v>1376</v>
      </c>
      <c r="F243" t="s">
        <v>1377</v>
      </c>
      <c r="G243" t="s">
        <v>1385</v>
      </c>
      <c r="H243" t="s">
        <v>1391</v>
      </c>
      <c r="I243" t="s">
        <v>1393</v>
      </c>
      <c r="J243" t="s">
        <v>1400</v>
      </c>
      <c r="K243" t="s">
        <v>1413</v>
      </c>
      <c r="L243">
        <v>433.57</v>
      </c>
      <c r="M243">
        <v>2</v>
      </c>
      <c r="N243">
        <v>0</v>
      </c>
      <c r="O243">
        <v>-76.28</v>
      </c>
    </row>
    <row r="244" spans="1:15" x14ac:dyDescent="0.3">
      <c r="A244" t="s">
        <v>257</v>
      </c>
      <c r="B244" t="s">
        <v>747</v>
      </c>
      <c r="C244" t="s">
        <v>1185</v>
      </c>
      <c r="D244" t="s">
        <v>1371</v>
      </c>
      <c r="E244" t="s">
        <v>1376</v>
      </c>
      <c r="F244" t="s">
        <v>1379</v>
      </c>
      <c r="G244" t="s">
        <v>1381</v>
      </c>
      <c r="H244" t="s">
        <v>1388</v>
      </c>
      <c r="I244" t="s">
        <v>1394</v>
      </c>
      <c r="J244" t="s">
        <v>1398</v>
      </c>
      <c r="K244" t="s">
        <v>1584</v>
      </c>
      <c r="L244">
        <v>788.14</v>
      </c>
      <c r="M244">
        <v>4</v>
      </c>
      <c r="N244">
        <v>0.1</v>
      </c>
      <c r="O244">
        <v>20.21</v>
      </c>
    </row>
    <row r="245" spans="1:15" x14ac:dyDescent="0.3">
      <c r="A245" t="s">
        <v>258</v>
      </c>
      <c r="B245" t="s">
        <v>748</v>
      </c>
      <c r="C245" t="s">
        <v>1186</v>
      </c>
      <c r="D245" t="s">
        <v>1365</v>
      </c>
      <c r="E245" t="s">
        <v>1375</v>
      </c>
      <c r="F245" t="s">
        <v>1377</v>
      </c>
      <c r="G245" t="s">
        <v>1382</v>
      </c>
      <c r="H245" t="s">
        <v>1390</v>
      </c>
      <c r="I245" t="s">
        <v>1392</v>
      </c>
      <c r="J245" t="s">
        <v>1395</v>
      </c>
      <c r="K245" t="s">
        <v>1585</v>
      </c>
      <c r="L245">
        <v>108.5</v>
      </c>
      <c r="M245">
        <v>2</v>
      </c>
      <c r="N245">
        <v>0.15</v>
      </c>
      <c r="O245">
        <v>10.53</v>
      </c>
    </row>
    <row r="246" spans="1:15" x14ac:dyDescent="0.3">
      <c r="A246" t="s">
        <v>259</v>
      </c>
      <c r="B246" t="s">
        <v>749</v>
      </c>
      <c r="C246" t="s">
        <v>1187</v>
      </c>
      <c r="D246" t="s">
        <v>1360</v>
      </c>
      <c r="E246" t="s">
        <v>1374</v>
      </c>
      <c r="F246" t="s">
        <v>1379</v>
      </c>
      <c r="G246" t="s">
        <v>1384</v>
      </c>
      <c r="H246" t="s">
        <v>1390</v>
      </c>
      <c r="I246" t="s">
        <v>1392</v>
      </c>
      <c r="J246" t="s">
        <v>1401</v>
      </c>
      <c r="K246" t="s">
        <v>1586</v>
      </c>
      <c r="L246">
        <v>410.69</v>
      </c>
      <c r="M246">
        <v>4</v>
      </c>
      <c r="N246">
        <v>0.2</v>
      </c>
      <c r="O246">
        <v>61.03</v>
      </c>
    </row>
    <row r="247" spans="1:15" x14ac:dyDescent="0.3">
      <c r="A247" t="s">
        <v>260</v>
      </c>
      <c r="B247" t="s">
        <v>750</v>
      </c>
      <c r="C247" t="s">
        <v>1188</v>
      </c>
      <c r="D247" t="s">
        <v>1366</v>
      </c>
      <c r="E247" t="s">
        <v>1374</v>
      </c>
      <c r="F247" t="s">
        <v>1377</v>
      </c>
      <c r="G247" t="s">
        <v>1387</v>
      </c>
      <c r="H247" t="s">
        <v>1388</v>
      </c>
      <c r="I247" t="s">
        <v>1393</v>
      </c>
      <c r="J247" t="s">
        <v>1396</v>
      </c>
      <c r="K247" t="s">
        <v>1587</v>
      </c>
      <c r="L247">
        <v>1011.03</v>
      </c>
      <c r="M247">
        <v>3</v>
      </c>
      <c r="N247">
        <v>0</v>
      </c>
      <c r="O247">
        <v>-19.8</v>
      </c>
    </row>
    <row r="248" spans="1:15" x14ac:dyDescent="0.3">
      <c r="A248" t="s">
        <v>261</v>
      </c>
      <c r="B248" t="s">
        <v>751</v>
      </c>
      <c r="C248" t="s">
        <v>1189</v>
      </c>
      <c r="D248" t="s">
        <v>1373</v>
      </c>
      <c r="E248" t="s">
        <v>1374</v>
      </c>
      <c r="F248" t="s">
        <v>1379</v>
      </c>
      <c r="G248" t="s">
        <v>1381</v>
      </c>
      <c r="H248" t="s">
        <v>1389</v>
      </c>
      <c r="I248" t="s">
        <v>1393</v>
      </c>
      <c r="J248" t="s">
        <v>1399</v>
      </c>
      <c r="K248" t="s">
        <v>1588</v>
      </c>
      <c r="L248">
        <v>1172.93</v>
      </c>
      <c r="M248">
        <v>8</v>
      </c>
      <c r="N248">
        <v>0</v>
      </c>
      <c r="O248">
        <v>-53.75</v>
      </c>
    </row>
    <row r="249" spans="1:15" x14ac:dyDescent="0.3">
      <c r="A249" t="s">
        <v>262</v>
      </c>
      <c r="B249" t="s">
        <v>752</v>
      </c>
      <c r="C249" t="s">
        <v>1185</v>
      </c>
      <c r="D249" t="s">
        <v>1362</v>
      </c>
      <c r="E249" t="s">
        <v>1375</v>
      </c>
      <c r="F249" t="s">
        <v>1378</v>
      </c>
      <c r="G249" t="s">
        <v>1386</v>
      </c>
      <c r="H249" t="s">
        <v>1388</v>
      </c>
      <c r="I249" t="s">
        <v>1394</v>
      </c>
      <c r="J249" t="s">
        <v>1402</v>
      </c>
      <c r="K249" t="s">
        <v>1505</v>
      </c>
      <c r="L249">
        <v>546.01</v>
      </c>
      <c r="M249">
        <v>5</v>
      </c>
      <c r="N249">
        <v>0.2</v>
      </c>
      <c r="O249">
        <v>17.760000000000002</v>
      </c>
    </row>
    <row r="250" spans="1:15" x14ac:dyDescent="0.3">
      <c r="A250" t="s">
        <v>263</v>
      </c>
      <c r="B250" t="s">
        <v>753</v>
      </c>
      <c r="C250" t="s">
        <v>1190</v>
      </c>
      <c r="D250" t="s">
        <v>1360</v>
      </c>
      <c r="E250" t="s">
        <v>1374</v>
      </c>
      <c r="F250" t="s">
        <v>1377</v>
      </c>
      <c r="G250" t="s">
        <v>1383</v>
      </c>
      <c r="H250" t="s">
        <v>1390</v>
      </c>
      <c r="I250" t="s">
        <v>1393</v>
      </c>
      <c r="J250" t="s">
        <v>1399</v>
      </c>
      <c r="K250" t="s">
        <v>1516</v>
      </c>
      <c r="L250">
        <v>1165.43</v>
      </c>
      <c r="M250">
        <v>10</v>
      </c>
      <c r="N250">
        <v>0.1</v>
      </c>
      <c r="O250">
        <v>89.51</v>
      </c>
    </row>
    <row r="251" spans="1:15" x14ac:dyDescent="0.3">
      <c r="A251" t="s">
        <v>264</v>
      </c>
      <c r="B251" t="s">
        <v>754</v>
      </c>
      <c r="C251" t="s">
        <v>1170</v>
      </c>
      <c r="D251" t="s">
        <v>1359</v>
      </c>
      <c r="E251" t="s">
        <v>1375</v>
      </c>
      <c r="F251" t="s">
        <v>1377</v>
      </c>
      <c r="G251" t="s">
        <v>1387</v>
      </c>
      <c r="H251" t="s">
        <v>1390</v>
      </c>
      <c r="I251" t="s">
        <v>1394</v>
      </c>
      <c r="J251" t="s">
        <v>1398</v>
      </c>
      <c r="K251" t="s">
        <v>1589</v>
      </c>
      <c r="L251">
        <v>60.98</v>
      </c>
      <c r="M251">
        <v>10</v>
      </c>
      <c r="O251">
        <v>12.21</v>
      </c>
    </row>
    <row r="252" spans="1:15" x14ac:dyDescent="0.3">
      <c r="A252" t="s">
        <v>265</v>
      </c>
      <c r="B252" t="s">
        <v>755</v>
      </c>
      <c r="C252" t="s">
        <v>1191</v>
      </c>
      <c r="D252" t="s">
        <v>1370</v>
      </c>
      <c r="E252" t="s">
        <v>1376</v>
      </c>
      <c r="F252" t="s">
        <v>1379</v>
      </c>
      <c r="G252" t="s">
        <v>1382</v>
      </c>
      <c r="H252" t="s">
        <v>1388</v>
      </c>
      <c r="I252" t="s">
        <v>1392</v>
      </c>
      <c r="J252" t="s">
        <v>1401</v>
      </c>
      <c r="K252" t="s">
        <v>1554</v>
      </c>
      <c r="L252">
        <v>519.58000000000004</v>
      </c>
      <c r="M252">
        <v>7</v>
      </c>
      <c r="N252">
        <v>0.1</v>
      </c>
      <c r="O252">
        <v>155.16</v>
      </c>
    </row>
    <row r="253" spans="1:15" x14ac:dyDescent="0.3">
      <c r="A253" t="s">
        <v>266</v>
      </c>
      <c r="B253" t="s">
        <v>756</v>
      </c>
      <c r="C253" t="s">
        <v>1192</v>
      </c>
      <c r="D253" t="s">
        <v>1364</v>
      </c>
      <c r="E253" t="s">
        <v>1374</v>
      </c>
      <c r="F253" t="s">
        <v>1377</v>
      </c>
      <c r="G253" t="s">
        <v>1381</v>
      </c>
      <c r="H253" t="s">
        <v>1389</v>
      </c>
      <c r="I253" t="s">
        <v>1394</v>
      </c>
      <c r="J253" t="s">
        <v>1398</v>
      </c>
      <c r="K253" t="s">
        <v>1590</v>
      </c>
      <c r="L253">
        <v>404.83</v>
      </c>
      <c r="M253">
        <v>5</v>
      </c>
      <c r="O253">
        <v>11.77</v>
      </c>
    </row>
    <row r="254" spans="1:15" x14ac:dyDescent="0.3">
      <c r="A254" t="s">
        <v>267</v>
      </c>
      <c r="B254" t="s">
        <v>757</v>
      </c>
      <c r="C254" t="s">
        <v>1193</v>
      </c>
      <c r="D254" t="s">
        <v>1362</v>
      </c>
      <c r="E254" t="s">
        <v>1376</v>
      </c>
      <c r="F254" t="s">
        <v>1377</v>
      </c>
      <c r="G254" t="s">
        <v>1384</v>
      </c>
      <c r="H254" t="s">
        <v>1389</v>
      </c>
      <c r="I254" t="s">
        <v>1393</v>
      </c>
      <c r="J254" t="s">
        <v>1396</v>
      </c>
      <c r="K254" t="s">
        <v>1591</v>
      </c>
      <c r="L254">
        <v>914.89</v>
      </c>
      <c r="M254">
        <v>2</v>
      </c>
      <c r="N254">
        <v>0</v>
      </c>
      <c r="O254">
        <v>74.42</v>
      </c>
    </row>
    <row r="255" spans="1:15" x14ac:dyDescent="0.3">
      <c r="A255" t="s">
        <v>268</v>
      </c>
      <c r="B255" t="s">
        <v>758</v>
      </c>
      <c r="C255" t="s">
        <v>1194</v>
      </c>
      <c r="D255" t="s">
        <v>1367</v>
      </c>
      <c r="E255" t="s">
        <v>1376</v>
      </c>
      <c r="F255" t="s">
        <v>1379</v>
      </c>
      <c r="G255" t="s">
        <v>1382</v>
      </c>
      <c r="H255" t="s">
        <v>1390</v>
      </c>
      <c r="I255" t="s">
        <v>1393</v>
      </c>
      <c r="J255" t="s">
        <v>1399</v>
      </c>
      <c r="K255" t="s">
        <v>1592</v>
      </c>
      <c r="L255">
        <v>64.209999999999994</v>
      </c>
      <c r="M255">
        <v>5</v>
      </c>
      <c r="N255">
        <v>0.2</v>
      </c>
      <c r="O255">
        <v>-8.2200000000000006</v>
      </c>
    </row>
    <row r="256" spans="1:15" x14ac:dyDescent="0.3">
      <c r="A256" t="s">
        <v>269</v>
      </c>
      <c r="B256" t="s">
        <v>759</v>
      </c>
      <c r="C256" t="s">
        <v>1043</v>
      </c>
      <c r="D256" t="s">
        <v>1369</v>
      </c>
      <c r="E256" t="s">
        <v>1375</v>
      </c>
      <c r="F256" t="s">
        <v>1379</v>
      </c>
      <c r="G256" t="s">
        <v>1382</v>
      </c>
      <c r="H256" t="s">
        <v>1389</v>
      </c>
      <c r="I256" t="s">
        <v>1394</v>
      </c>
      <c r="J256" t="s">
        <v>1403</v>
      </c>
      <c r="K256" t="s">
        <v>1593</v>
      </c>
      <c r="L256">
        <v>43.87</v>
      </c>
      <c r="M256">
        <v>5</v>
      </c>
      <c r="N256">
        <v>0.15</v>
      </c>
      <c r="O256">
        <v>-2.62</v>
      </c>
    </row>
    <row r="257" spans="1:15" x14ac:dyDescent="0.3">
      <c r="A257" t="s">
        <v>270</v>
      </c>
      <c r="B257" t="s">
        <v>760</v>
      </c>
      <c r="C257" t="s">
        <v>1195</v>
      </c>
      <c r="D257" t="s">
        <v>1365</v>
      </c>
      <c r="E257" t="s">
        <v>1376</v>
      </c>
      <c r="F257" t="s">
        <v>1380</v>
      </c>
      <c r="G257" t="s">
        <v>1383</v>
      </c>
      <c r="H257" t="s">
        <v>1390</v>
      </c>
      <c r="I257" t="s">
        <v>1394</v>
      </c>
      <c r="J257" t="s">
        <v>1398</v>
      </c>
      <c r="K257" t="s">
        <v>1594</v>
      </c>
      <c r="L257">
        <v>511.79</v>
      </c>
      <c r="M257">
        <v>2</v>
      </c>
      <c r="N257">
        <v>0.1</v>
      </c>
      <c r="O257">
        <v>10.68</v>
      </c>
    </row>
    <row r="258" spans="1:15" x14ac:dyDescent="0.3">
      <c r="A258" t="s">
        <v>271</v>
      </c>
      <c r="B258" t="s">
        <v>761</v>
      </c>
      <c r="C258" t="s">
        <v>1196</v>
      </c>
      <c r="D258" t="s">
        <v>1363</v>
      </c>
      <c r="E258" t="s">
        <v>1375</v>
      </c>
      <c r="F258" t="s">
        <v>1380</v>
      </c>
      <c r="G258" t="s">
        <v>1385</v>
      </c>
      <c r="H258" t="s">
        <v>1388</v>
      </c>
      <c r="I258" t="s">
        <v>1394</v>
      </c>
      <c r="J258" t="s">
        <v>1402</v>
      </c>
      <c r="K258" t="s">
        <v>1595</v>
      </c>
      <c r="L258">
        <v>941.01</v>
      </c>
      <c r="M258">
        <v>9</v>
      </c>
      <c r="O258">
        <v>-174.58</v>
      </c>
    </row>
    <row r="259" spans="1:15" x14ac:dyDescent="0.3">
      <c r="A259" t="s">
        <v>272</v>
      </c>
      <c r="B259" t="s">
        <v>762</v>
      </c>
      <c r="C259" t="s">
        <v>1197</v>
      </c>
      <c r="D259" t="s">
        <v>1369</v>
      </c>
      <c r="E259" t="s">
        <v>1376</v>
      </c>
      <c r="F259" t="s">
        <v>1377</v>
      </c>
      <c r="G259" t="s">
        <v>1383</v>
      </c>
      <c r="H259" t="s">
        <v>1389</v>
      </c>
      <c r="I259" t="s">
        <v>1394</v>
      </c>
      <c r="J259" t="s">
        <v>1403</v>
      </c>
      <c r="K259" t="s">
        <v>1489</v>
      </c>
      <c r="L259">
        <v>991.74</v>
      </c>
      <c r="M259">
        <v>9</v>
      </c>
      <c r="N259">
        <v>0.2</v>
      </c>
      <c r="O259">
        <v>116.73</v>
      </c>
    </row>
    <row r="260" spans="1:15" x14ac:dyDescent="0.3">
      <c r="A260" t="s">
        <v>273</v>
      </c>
      <c r="B260" t="s">
        <v>763</v>
      </c>
      <c r="C260" t="s">
        <v>1198</v>
      </c>
      <c r="D260" t="s">
        <v>1366</v>
      </c>
      <c r="E260" t="s">
        <v>1375</v>
      </c>
      <c r="F260" t="s">
        <v>1377</v>
      </c>
      <c r="G260" t="s">
        <v>1381</v>
      </c>
      <c r="H260" t="s">
        <v>1390</v>
      </c>
      <c r="I260" t="s">
        <v>1393</v>
      </c>
      <c r="J260" t="s">
        <v>1396</v>
      </c>
      <c r="K260" t="s">
        <v>1596</v>
      </c>
      <c r="L260">
        <v>432.72</v>
      </c>
      <c r="M260">
        <v>3</v>
      </c>
      <c r="N260">
        <v>0.15</v>
      </c>
      <c r="O260">
        <v>75.5</v>
      </c>
    </row>
    <row r="261" spans="1:15" x14ac:dyDescent="0.3">
      <c r="A261" t="s">
        <v>274</v>
      </c>
      <c r="B261" t="s">
        <v>764</v>
      </c>
      <c r="C261" t="s">
        <v>1150</v>
      </c>
      <c r="D261" t="s">
        <v>1361</v>
      </c>
      <c r="E261" t="s">
        <v>1375</v>
      </c>
      <c r="F261" t="s">
        <v>1377</v>
      </c>
      <c r="G261" t="s">
        <v>1387</v>
      </c>
      <c r="H261" t="s">
        <v>1390</v>
      </c>
      <c r="I261" t="s">
        <v>1392</v>
      </c>
      <c r="J261" t="s">
        <v>1395</v>
      </c>
      <c r="K261" t="s">
        <v>1585</v>
      </c>
      <c r="L261">
        <v>285.63</v>
      </c>
      <c r="M261">
        <v>4</v>
      </c>
      <c r="N261">
        <v>0.15</v>
      </c>
      <c r="O261">
        <v>35.93</v>
      </c>
    </row>
    <row r="262" spans="1:15" x14ac:dyDescent="0.3">
      <c r="A262" t="s">
        <v>275</v>
      </c>
      <c r="B262" t="s">
        <v>765</v>
      </c>
      <c r="C262" t="s">
        <v>1131</v>
      </c>
      <c r="D262" t="s">
        <v>1372</v>
      </c>
      <c r="E262" t="s">
        <v>1376</v>
      </c>
      <c r="F262" t="s">
        <v>1378</v>
      </c>
      <c r="G262" t="s">
        <v>1385</v>
      </c>
      <c r="H262" t="s">
        <v>1391</v>
      </c>
      <c r="I262" t="s">
        <v>1392</v>
      </c>
      <c r="J262" t="s">
        <v>1397</v>
      </c>
      <c r="K262" t="s">
        <v>1444</v>
      </c>
      <c r="L262">
        <v>737.85</v>
      </c>
      <c r="M262">
        <v>5</v>
      </c>
      <c r="N262">
        <v>0.15</v>
      </c>
      <c r="O262">
        <v>8.7799999999999994</v>
      </c>
    </row>
    <row r="263" spans="1:15" x14ac:dyDescent="0.3">
      <c r="A263" t="s">
        <v>276</v>
      </c>
      <c r="B263" t="s">
        <v>766</v>
      </c>
      <c r="C263" t="s">
        <v>1199</v>
      </c>
      <c r="D263" t="s">
        <v>1360</v>
      </c>
      <c r="E263" t="s">
        <v>1376</v>
      </c>
      <c r="F263" t="s">
        <v>1380</v>
      </c>
      <c r="G263" t="s">
        <v>1385</v>
      </c>
      <c r="H263" t="s">
        <v>1388</v>
      </c>
      <c r="I263" t="s">
        <v>1394</v>
      </c>
      <c r="J263" t="s">
        <v>1398</v>
      </c>
      <c r="K263" t="s">
        <v>1584</v>
      </c>
      <c r="L263">
        <v>140.72999999999999</v>
      </c>
      <c r="M263">
        <v>9</v>
      </c>
      <c r="N263">
        <v>0.15</v>
      </c>
      <c r="O263">
        <v>11.36</v>
      </c>
    </row>
    <row r="264" spans="1:15" x14ac:dyDescent="0.3">
      <c r="A264" t="s">
        <v>277</v>
      </c>
      <c r="B264" t="s">
        <v>767</v>
      </c>
      <c r="C264" t="s">
        <v>1200</v>
      </c>
      <c r="D264" t="s">
        <v>1361</v>
      </c>
      <c r="E264" t="s">
        <v>1376</v>
      </c>
      <c r="F264" t="s">
        <v>1379</v>
      </c>
      <c r="G264" t="s">
        <v>1382</v>
      </c>
      <c r="H264" t="s">
        <v>1390</v>
      </c>
      <c r="I264" t="s">
        <v>1394</v>
      </c>
      <c r="J264" t="s">
        <v>1403</v>
      </c>
      <c r="K264" t="s">
        <v>1512</v>
      </c>
      <c r="L264">
        <v>794.22</v>
      </c>
      <c r="M264">
        <v>5</v>
      </c>
      <c r="N264">
        <v>0.1</v>
      </c>
      <c r="O264">
        <v>-99.31</v>
      </c>
    </row>
    <row r="265" spans="1:15" x14ac:dyDescent="0.3">
      <c r="A265" t="s">
        <v>278</v>
      </c>
      <c r="B265" t="s">
        <v>768</v>
      </c>
      <c r="C265" t="s">
        <v>1201</v>
      </c>
      <c r="D265" t="s">
        <v>1359</v>
      </c>
      <c r="E265" t="s">
        <v>1376</v>
      </c>
      <c r="F265" t="s">
        <v>1378</v>
      </c>
      <c r="G265" t="s">
        <v>1382</v>
      </c>
      <c r="H265" t="s">
        <v>1389</v>
      </c>
      <c r="I265" t="s">
        <v>1394</v>
      </c>
      <c r="J265" t="s">
        <v>1403</v>
      </c>
      <c r="K265" t="s">
        <v>1494</v>
      </c>
      <c r="L265">
        <v>1090.1600000000001</v>
      </c>
      <c r="M265">
        <v>7</v>
      </c>
      <c r="N265">
        <v>0.2</v>
      </c>
      <c r="O265">
        <v>183.55</v>
      </c>
    </row>
    <row r="266" spans="1:15" x14ac:dyDescent="0.3">
      <c r="A266" t="s">
        <v>279</v>
      </c>
      <c r="B266" t="s">
        <v>769</v>
      </c>
      <c r="C266" t="s">
        <v>1202</v>
      </c>
      <c r="D266" t="s">
        <v>1370</v>
      </c>
      <c r="E266" t="s">
        <v>1376</v>
      </c>
      <c r="F266" t="s">
        <v>1378</v>
      </c>
      <c r="G266" t="s">
        <v>1382</v>
      </c>
      <c r="H266" t="s">
        <v>1391</v>
      </c>
      <c r="I266" t="s">
        <v>1394</v>
      </c>
      <c r="J266" t="s">
        <v>1402</v>
      </c>
      <c r="K266" t="s">
        <v>1577</v>
      </c>
      <c r="L266">
        <v>1011.95</v>
      </c>
      <c r="M266">
        <v>9</v>
      </c>
      <c r="N266">
        <v>0.1</v>
      </c>
      <c r="O266">
        <v>-53.74</v>
      </c>
    </row>
    <row r="267" spans="1:15" x14ac:dyDescent="0.3">
      <c r="A267" t="s">
        <v>280</v>
      </c>
      <c r="B267" t="s">
        <v>770</v>
      </c>
      <c r="C267" t="s">
        <v>1203</v>
      </c>
      <c r="D267" t="s">
        <v>1372</v>
      </c>
      <c r="E267" t="s">
        <v>1374</v>
      </c>
      <c r="F267" t="s">
        <v>1379</v>
      </c>
      <c r="G267" t="s">
        <v>1385</v>
      </c>
      <c r="H267" t="s">
        <v>1388</v>
      </c>
      <c r="I267" t="s">
        <v>1394</v>
      </c>
      <c r="J267" t="s">
        <v>1402</v>
      </c>
      <c r="K267" t="s">
        <v>1597</v>
      </c>
      <c r="L267">
        <v>898.17</v>
      </c>
      <c r="M267">
        <v>5</v>
      </c>
      <c r="N267">
        <v>0.2</v>
      </c>
      <c r="O267">
        <v>174.29</v>
      </c>
    </row>
    <row r="268" spans="1:15" x14ac:dyDescent="0.3">
      <c r="A268" t="s">
        <v>281</v>
      </c>
      <c r="B268" t="s">
        <v>771</v>
      </c>
      <c r="C268" t="s">
        <v>1204</v>
      </c>
      <c r="D268" t="s">
        <v>1365</v>
      </c>
      <c r="E268" t="s">
        <v>1376</v>
      </c>
      <c r="F268" t="s">
        <v>1377</v>
      </c>
      <c r="G268" t="s">
        <v>1381</v>
      </c>
      <c r="H268" t="s">
        <v>1390</v>
      </c>
      <c r="I268" t="s">
        <v>1393</v>
      </c>
      <c r="J268" t="s">
        <v>1396</v>
      </c>
      <c r="K268" t="s">
        <v>1598</v>
      </c>
      <c r="L268">
        <v>104.03</v>
      </c>
      <c r="M268">
        <v>4</v>
      </c>
      <c r="O268">
        <v>-14.57</v>
      </c>
    </row>
    <row r="269" spans="1:15" x14ac:dyDescent="0.3">
      <c r="A269" t="s">
        <v>282</v>
      </c>
      <c r="B269" t="s">
        <v>772</v>
      </c>
      <c r="C269" t="s">
        <v>1205</v>
      </c>
      <c r="D269" t="s">
        <v>1363</v>
      </c>
      <c r="E269" t="s">
        <v>1376</v>
      </c>
      <c r="F269" t="s">
        <v>1379</v>
      </c>
      <c r="G269" t="s">
        <v>1382</v>
      </c>
      <c r="H269" t="s">
        <v>1390</v>
      </c>
      <c r="I269" t="s">
        <v>1394</v>
      </c>
      <c r="J269" t="s">
        <v>1398</v>
      </c>
      <c r="K269" t="s">
        <v>1599</v>
      </c>
      <c r="L269">
        <v>1073.56</v>
      </c>
      <c r="M269">
        <v>8</v>
      </c>
      <c r="N269">
        <v>0.1</v>
      </c>
      <c r="O269">
        <v>-44.88</v>
      </c>
    </row>
    <row r="270" spans="1:15" x14ac:dyDescent="0.3">
      <c r="A270" t="s">
        <v>283</v>
      </c>
      <c r="B270" t="s">
        <v>773</v>
      </c>
      <c r="C270" t="s">
        <v>1206</v>
      </c>
      <c r="D270" t="s">
        <v>1369</v>
      </c>
      <c r="E270" t="s">
        <v>1374</v>
      </c>
      <c r="F270" t="s">
        <v>1377</v>
      </c>
      <c r="G270" t="s">
        <v>1382</v>
      </c>
      <c r="H270" t="s">
        <v>1389</v>
      </c>
      <c r="I270" t="s">
        <v>1392</v>
      </c>
      <c r="J270" t="s">
        <v>1397</v>
      </c>
      <c r="K270" t="s">
        <v>1600</v>
      </c>
      <c r="L270">
        <v>342.76</v>
      </c>
      <c r="M270">
        <v>3</v>
      </c>
      <c r="O270">
        <v>62.47</v>
      </c>
    </row>
    <row r="271" spans="1:15" x14ac:dyDescent="0.3">
      <c r="A271" t="s">
        <v>284</v>
      </c>
      <c r="B271" t="s">
        <v>774</v>
      </c>
      <c r="C271" t="s">
        <v>1187</v>
      </c>
      <c r="D271" t="s">
        <v>1359</v>
      </c>
      <c r="E271" t="s">
        <v>1375</v>
      </c>
      <c r="F271" t="s">
        <v>1380</v>
      </c>
      <c r="G271" t="s">
        <v>1382</v>
      </c>
      <c r="H271" t="s">
        <v>1390</v>
      </c>
      <c r="I271" t="s">
        <v>1394</v>
      </c>
      <c r="J271" t="s">
        <v>1402</v>
      </c>
      <c r="K271" t="s">
        <v>1601</v>
      </c>
      <c r="L271">
        <v>64.52</v>
      </c>
      <c r="M271">
        <v>4</v>
      </c>
      <c r="N271">
        <v>0.15</v>
      </c>
      <c r="O271">
        <v>17.75</v>
      </c>
    </row>
    <row r="272" spans="1:15" x14ac:dyDescent="0.3">
      <c r="A272" t="s">
        <v>285</v>
      </c>
      <c r="B272" t="s">
        <v>775</v>
      </c>
      <c r="C272" t="s">
        <v>1207</v>
      </c>
      <c r="D272" t="s">
        <v>1366</v>
      </c>
      <c r="E272" t="s">
        <v>1376</v>
      </c>
      <c r="F272" t="s">
        <v>1377</v>
      </c>
      <c r="G272" t="s">
        <v>1382</v>
      </c>
      <c r="H272" t="s">
        <v>1391</v>
      </c>
      <c r="I272" t="s">
        <v>1394</v>
      </c>
      <c r="J272" t="s">
        <v>1402</v>
      </c>
      <c r="K272" t="s">
        <v>1602</v>
      </c>
      <c r="L272">
        <v>141.19999999999999</v>
      </c>
      <c r="M272">
        <v>9</v>
      </c>
      <c r="O272">
        <v>-6.63</v>
      </c>
    </row>
    <row r="273" spans="1:15" x14ac:dyDescent="0.3">
      <c r="A273" t="s">
        <v>286</v>
      </c>
      <c r="B273" t="s">
        <v>776</v>
      </c>
      <c r="C273" t="s">
        <v>1208</v>
      </c>
      <c r="D273" t="s">
        <v>1369</v>
      </c>
      <c r="E273" t="s">
        <v>1375</v>
      </c>
      <c r="F273" t="s">
        <v>1378</v>
      </c>
      <c r="G273" t="s">
        <v>1387</v>
      </c>
      <c r="H273" t="s">
        <v>1388</v>
      </c>
      <c r="I273" t="s">
        <v>1394</v>
      </c>
      <c r="J273" t="s">
        <v>1403</v>
      </c>
      <c r="K273" t="s">
        <v>1603</v>
      </c>
      <c r="L273">
        <v>443.92</v>
      </c>
      <c r="M273">
        <v>4</v>
      </c>
      <c r="N273">
        <v>0.1</v>
      </c>
      <c r="O273">
        <v>121.65</v>
      </c>
    </row>
    <row r="274" spans="1:15" x14ac:dyDescent="0.3">
      <c r="A274" t="s">
        <v>287</v>
      </c>
      <c r="B274" t="s">
        <v>777</v>
      </c>
      <c r="C274" t="s">
        <v>1209</v>
      </c>
      <c r="D274" t="s">
        <v>1364</v>
      </c>
      <c r="E274" t="s">
        <v>1375</v>
      </c>
      <c r="F274" t="s">
        <v>1380</v>
      </c>
      <c r="G274" t="s">
        <v>1382</v>
      </c>
      <c r="H274" t="s">
        <v>1388</v>
      </c>
      <c r="I274" t="s">
        <v>1392</v>
      </c>
      <c r="J274" t="s">
        <v>1397</v>
      </c>
      <c r="K274" t="s">
        <v>1604</v>
      </c>
      <c r="L274">
        <v>859.11</v>
      </c>
      <c r="M274">
        <v>1</v>
      </c>
      <c r="N274">
        <v>0.2</v>
      </c>
      <c r="O274">
        <v>204.7</v>
      </c>
    </row>
    <row r="275" spans="1:15" x14ac:dyDescent="0.3">
      <c r="A275" t="s">
        <v>288</v>
      </c>
      <c r="B275" t="s">
        <v>778</v>
      </c>
      <c r="C275" t="s">
        <v>1101</v>
      </c>
      <c r="D275" t="s">
        <v>1365</v>
      </c>
      <c r="E275" t="s">
        <v>1375</v>
      </c>
      <c r="F275" t="s">
        <v>1378</v>
      </c>
      <c r="G275" t="s">
        <v>1382</v>
      </c>
      <c r="H275" t="s">
        <v>1388</v>
      </c>
      <c r="I275" t="s">
        <v>1392</v>
      </c>
      <c r="J275" t="s">
        <v>1395</v>
      </c>
      <c r="K275" t="s">
        <v>1496</v>
      </c>
      <c r="L275">
        <v>156.63</v>
      </c>
      <c r="M275">
        <v>8</v>
      </c>
      <c r="N275">
        <v>0.2</v>
      </c>
      <c r="O275">
        <v>-21.65</v>
      </c>
    </row>
    <row r="276" spans="1:15" x14ac:dyDescent="0.3">
      <c r="A276" t="s">
        <v>289</v>
      </c>
      <c r="B276" t="s">
        <v>779</v>
      </c>
      <c r="C276" t="s">
        <v>1210</v>
      </c>
      <c r="D276" t="s">
        <v>1364</v>
      </c>
      <c r="E276" t="s">
        <v>1374</v>
      </c>
      <c r="F276" t="s">
        <v>1380</v>
      </c>
      <c r="G276" t="s">
        <v>1384</v>
      </c>
      <c r="H276" t="s">
        <v>1388</v>
      </c>
      <c r="I276" t="s">
        <v>1393</v>
      </c>
      <c r="J276" t="s">
        <v>1396</v>
      </c>
      <c r="K276" t="s">
        <v>1605</v>
      </c>
      <c r="L276">
        <v>338.57</v>
      </c>
      <c r="M276">
        <v>10</v>
      </c>
      <c r="N276">
        <v>0.1</v>
      </c>
      <c r="O276">
        <v>3.19</v>
      </c>
    </row>
    <row r="277" spans="1:15" x14ac:dyDescent="0.3">
      <c r="A277" t="s">
        <v>290</v>
      </c>
      <c r="B277" t="s">
        <v>780</v>
      </c>
      <c r="C277" t="s">
        <v>1211</v>
      </c>
      <c r="D277" t="s">
        <v>1371</v>
      </c>
      <c r="E277" t="s">
        <v>1375</v>
      </c>
      <c r="F277" t="s">
        <v>1377</v>
      </c>
      <c r="G277" t="s">
        <v>1387</v>
      </c>
      <c r="H277" t="s">
        <v>1389</v>
      </c>
      <c r="I277" t="s">
        <v>1393</v>
      </c>
      <c r="J277" t="s">
        <v>1400</v>
      </c>
      <c r="K277" t="s">
        <v>1606</v>
      </c>
      <c r="L277">
        <v>937.99</v>
      </c>
      <c r="M277">
        <v>9</v>
      </c>
      <c r="N277">
        <v>0.1</v>
      </c>
      <c r="O277">
        <v>-19.73</v>
      </c>
    </row>
    <row r="278" spans="1:15" x14ac:dyDescent="0.3">
      <c r="A278" t="s">
        <v>291</v>
      </c>
      <c r="B278" t="s">
        <v>781</v>
      </c>
      <c r="C278" t="s">
        <v>1212</v>
      </c>
      <c r="D278" t="s">
        <v>1361</v>
      </c>
      <c r="E278" t="s">
        <v>1375</v>
      </c>
      <c r="F278" t="s">
        <v>1380</v>
      </c>
      <c r="G278" t="s">
        <v>1384</v>
      </c>
      <c r="H278" t="s">
        <v>1390</v>
      </c>
      <c r="I278" t="s">
        <v>1392</v>
      </c>
      <c r="J278" t="s">
        <v>1395</v>
      </c>
      <c r="K278" t="s">
        <v>1429</v>
      </c>
      <c r="L278">
        <v>125.02</v>
      </c>
      <c r="M278">
        <v>2</v>
      </c>
      <c r="O278">
        <v>16.82</v>
      </c>
    </row>
    <row r="279" spans="1:15" x14ac:dyDescent="0.3">
      <c r="A279" t="s">
        <v>292</v>
      </c>
      <c r="B279" t="s">
        <v>782</v>
      </c>
      <c r="C279" t="s">
        <v>1170</v>
      </c>
      <c r="D279" t="s">
        <v>1372</v>
      </c>
      <c r="E279" t="s">
        <v>1374</v>
      </c>
      <c r="F279" t="s">
        <v>1380</v>
      </c>
      <c r="G279" t="s">
        <v>1381</v>
      </c>
      <c r="H279" t="s">
        <v>1388</v>
      </c>
      <c r="I279" t="s">
        <v>1394</v>
      </c>
      <c r="J279" t="s">
        <v>1402</v>
      </c>
      <c r="K279" t="s">
        <v>1500</v>
      </c>
      <c r="L279">
        <v>137.77000000000001</v>
      </c>
      <c r="M279">
        <v>3</v>
      </c>
      <c r="N279">
        <v>0</v>
      </c>
      <c r="O279">
        <v>31.15</v>
      </c>
    </row>
    <row r="280" spans="1:15" x14ac:dyDescent="0.3">
      <c r="A280" t="s">
        <v>293</v>
      </c>
      <c r="B280" t="s">
        <v>783</v>
      </c>
      <c r="C280" t="s">
        <v>1213</v>
      </c>
      <c r="D280" t="s">
        <v>1366</v>
      </c>
      <c r="E280" t="s">
        <v>1376</v>
      </c>
      <c r="F280" t="s">
        <v>1378</v>
      </c>
      <c r="G280" t="s">
        <v>1381</v>
      </c>
      <c r="H280" t="s">
        <v>1389</v>
      </c>
      <c r="I280" t="s">
        <v>1393</v>
      </c>
      <c r="J280" t="s">
        <v>1396</v>
      </c>
      <c r="K280" t="s">
        <v>1607</v>
      </c>
      <c r="L280">
        <v>221.2</v>
      </c>
      <c r="M280">
        <v>6</v>
      </c>
      <c r="N280">
        <v>0.2</v>
      </c>
      <c r="O280">
        <v>61.39</v>
      </c>
    </row>
    <row r="281" spans="1:15" x14ac:dyDescent="0.3">
      <c r="A281" t="s">
        <v>294</v>
      </c>
      <c r="B281" t="s">
        <v>784</v>
      </c>
      <c r="C281" t="s">
        <v>1214</v>
      </c>
      <c r="D281" t="s">
        <v>1369</v>
      </c>
      <c r="E281" t="s">
        <v>1375</v>
      </c>
      <c r="F281" t="s">
        <v>1377</v>
      </c>
      <c r="G281" t="s">
        <v>1383</v>
      </c>
      <c r="H281" t="s">
        <v>1389</v>
      </c>
      <c r="I281" t="s">
        <v>1394</v>
      </c>
      <c r="J281" t="s">
        <v>1398</v>
      </c>
      <c r="K281" t="s">
        <v>1515</v>
      </c>
      <c r="L281">
        <v>1023.79</v>
      </c>
      <c r="M281">
        <v>7</v>
      </c>
      <c r="N281">
        <v>0.1</v>
      </c>
      <c r="O281">
        <v>-146.88</v>
      </c>
    </row>
    <row r="282" spans="1:15" x14ac:dyDescent="0.3">
      <c r="A282" t="s">
        <v>295</v>
      </c>
      <c r="B282" t="s">
        <v>785</v>
      </c>
      <c r="C282" t="s">
        <v>1215</v>
      </c>
      <c r="D282" t="s">
        <v>1368</v>
      </c>
      <c r="E282" t="s">
        <v>1376</v>
      </c>
      <c r="F282" t="s">
        <v>1380</v>
      </c>
      <c r="G282" t="s">
        <v>1385</v>
      </c>
      <c r="H282" t="s">
        <v>1389</v>
      </c>
      <c r="I282" t="s">
        <v>1392</v>
      </c>
      <c r="J282" t="s">
        <v>1395</v>
      </c>
      <c r="K282" t="s">
        <v>1501</v>
      </c>
      <c r="L282">
        <v>468.11</v>
      </c>
      <c r="M282">
        <v>6</v>
      </c>
      <c r="O282">
        <v>-86.88</v>
      </c>
    </row>
    <row r="283" spans="1:15" x14ac:dyDescent="0.3">
      <c r="A283" t="s">
        <v>296</v>
      </c>
      <c r="B283" t="s">
        <v>593</v>
      </c>
      <c r="C283" t="s">
        <v>1216</v>
      </c>
      <c r="D283" t="s">
        <v>1362</v>
      </c>
      <c r="E283" t="s">
        <v>1374</v>
      </c>
      <c r="F283" t="s">
        <v>1380</v>
      </c>
      <c r="G283" t="s">
        <v>1385</v>
      </c>
      <c r="H283" t="s">
        <v>1390</v>
      </c>
      <c r="I283" t="s">
        <v>1393</v>
      </c>
      <c r="J283" t="s">
        <v>1399</v>
      </c>
      <c r="K283" t="s">
        <v>1516</v>
      </c>
      <c r="L283">
        <v>34.590000000000003</v>
      </c>
      <c r="M283">
        <v>9</v>
      </c>
      <c r="O283">
        <v>5.6</v>
      </c>
    </row>
    <row r="284" spans="1:15" x14ac:dyDescent="0.3">
      <c r="A284" t="s">
        <v>297</v>
      </c>
      <c r="B284" t="s">
        <v>786</v>
      </c>
      <c r="C284" t="s">
        <v>1217</v>
      </c>
      <c r="D284" t="s">
        <v>1360</v>
      </c>
      <c r="E284" t="s">
        <v>1376</v>
      </c>
      <c r="F284" t="s">
        <v>1378</v>
      </c>
      <c r="G284" t="s">
        <v>1381</v>
      </c>
      <c r="H284" t="s">
        <v>1389</v>
      </c>
      <c r="I284" t="s">
        <v>1392</v>
      </c>
      <c r="J284" t="s">
        <v>1395</v>
      </c>
      <c r="K284" t="s">
        <v>1525</v>
      </c>
      <c r="L284">
        <v>1072.6300000000001</v>
      </c>
      <c r="M284">
        <v>10</v>
      </c>
      <c r="N284">
        <v>0</v>
      </c>
      <c r="O284">
        <v>-208.28</v>
      </c>
    </row>
    <row r="285" spans="1:15" x14ac:dyDescent="0.3">
      <c r="A285" t="s">
        <v>298</v>
      </c>
      <c r="B285" t="s">
        <v>787</v>
      </c>
      <c r="C285" t="s">
        <v>1164</v>
      </c>
      <c r="D285" t="s">
        <v>1366</v>
      </c>
      <c r="E285" t="s">
        <v>1376</v>
      </c>
      <c r="F285" t="s">
        <v>1377</v>
      </c>
      <c r="G285" t="s">
        <v>1381</v>
      </c>
      <c r="H285" t="s">
        <v>1389</v>
      </c>
      <c r="I285" t="s">
        <v>1394</v>
      </c>
      <c r="J285" t="s">
        <v>1402</v>
      </c>
      <c r="K285" t="s">
        <v>1551</v>
      </c>
      <c r="L285">
        <v>618.17999999999995</v>
      </c>
      <c r="M285">
        <v>9</v>
      </c>
      <c r="N285">
        <v>0.2</v>
      </c>
      <c r="O285">
        <v>1.01</v>
      </c>
    </row>
    <row r="286" spans="1:15" x14ac:dyDescent="0.3">
      <c r="A286" t="s">
        <v>299</v>
      </c>
      <c r="B286" t="s">
        <v>788</v>
      </c>
      <c r="C286" t="s">
        <v>1218</v>
      </c>
      <c r="D286" t="s">
        <v>1359</v>
      </c>
      <c r="E286" t="s">
        <v>1375</v>
      </c>
      <c r="F286" t="s">
        <v>1379</v>
      </c>
      <c r="G286" t="s">
        <v>1383</v>
      </c>
      <c r="H286" t="s">
        <v>1390</v>
      </c>
      <c r="I286" t="s">
        <v>1394</v>
      </c>
      <c r="J286" t="s">
        <v>1398</v>
      </c>
      <c r="K286" t="s">
        <v>1456</v>
      </c>
      <c r="L286">
        <v>790.98</v>
      </c>
      <c r="M286">
        <v>2</v>
      </c>
      <c r="N286">
        <v>0.2</v>
      </c>
      <c r="O286">
        <v>4.88</v>
      </c>
    </row>
    <row r="287" spans="1:15" x14ac:dyDescent="0.3">
      <c r="A287" t="s">
        <v>300</v>
      </c>
      <c r="B287" t="s">
        <v>789</v>
      </c>
      <c r="C287" t="s">
        <v>1002</v>
      </c>
      <c r="D287" t="s">
        <v>1360</v>
      </c>
      <c r="E287" t="s">
        <v>1374</v>
      </c>
      <c r="F287" t="s">
        <v>1379</v>
      </c>
      <c r="G287" t="s">
        <v>1382</v>
      </c>
      <c r="H287" t="s">
        <v>1389</v>
      </c>
      <c r="I287" t="s">
        <v>1394</v>
      </c>
      <c r="J287" t="s">
        <v>1403</v>
      </c>
      <c r="K287" t="s">
        <v>1608</v>
      </c>
      <c r="L287">
        <v>993.87</v>
      </c>
      <c r="M287">
        <v>4</v>
      </c>
      <c r="N287">
        <v>0.2</v>
      </c>
      <c r="O287">
        <v>-33.81</v>
      </c>
    </row>
    <row r="288" spans="1:15" x14ac:dyDescent="0.3">
      <c r="A288" t="s">
        <v>301</v>
      </c>
      <c r="B288" t="s">
        <v>790</v>
      </c>
      <c r="C288" t="s">
        <v>1219</v>
      </c>
      <c r="D288" t="s">
        <v>1369</v>
      </c>
      <c r="E288" t="s">
        <v>1375</v>
      </c>
      <c r="F288" t="s">
        <v>1377</v>
      </c>
      <c r="G288" t="s">
        <v>1387</v>
      </c>
      <c r="H288" t="s">
        <v>1389</v>
      </c>
      <c r="I288" t="s">
        <v>1392</v>
      </c>
      <c r="J288" t="s">
        <v>1397</v>
      </c>
      <c r="K288" t="s">
        <v>1609</v>
      </c>
      <c r="L288">
        <v>439.06</v>
      </c>
      <c r="M288">
        <v>5</v>
      </c>
      <c r="O288">
        <v>26.78</v>
      </c>
    </row>
    <row r="289" spans="1:15" x14ac:dyDescent="0.3">
      <c r="A289" t="s">
        <v>302</v>
      </c>
      <c r="B289" t="s">
        <v>586</v>
      </c>
      <c r="C289" t="s">
        <v>1220</v>
      </c>
      <c r="D289" t="s">
        <v>1371</v>
      </c>
      <c r="E289" t="s">
        <v>1376</v>
      </c>
      <c r="F289" t="s">
        <v>1380</v>
      </c>
      <c r="G289" t="s">
        <v>1382</v>
      </c>
      <c r="H289" t="s">
        <v>1388</v>
      </c>
      <c r="I289" t="s">
        <v>1392</v>
      </c>
      <c r="J289" t="s">
        <v>1401</v>
      </c>
      <c r="K289" t="s">
        <v>1610</v>
      </c>
      <c r="L289">
        <v>162.47999999999999</v>
      </c>
      <c r="M289">
        <v>7</v>
      </c>
      <c r="N289">
        <v>0.1</v>
      </c>
      <c r="O289">
        <v>4.63</v>
      </c>
    </row>
    <row r="290" spans="1:15" x14ac:dyDescent="0.3">
      <c r="A290" t="s">
        <v>303</v>
      </c>
      <c r="B290" t="s">
        <v>791</v>
      </c>
      <c r="C290" t="s">
        <v>1075</v>
      </c>
      <c r="D290" t="s">
        <v>1361</v>
      </c>
      <c r="E290" t="s">
        <v>1376</v>
      </c>
      <c r="F290" t="s">
        <v>1377</v>
      </c>
      <c r="G290" t="s">
        <v>1383</v>
      </c>
      <c r="H290" t="s">
        <v>1390</v>
      </c>
      <c r="I290" t="s">
        <v>1393</v>
      </c>
      <c r="J290" t="s">
        <v>1396</v>
      </c>
      <c r="K290" t="s">
        <v>1611</v>
      </c>
      <c r="L290">
        <v>1148.3</v>
      </c>
      <c r="M290">
        <v>3</v>
      </c>
      <c r="N290">
        <v>0.2</v>
      </c>
      <c r="O290">
        <v>-227.17</v>
      </c>
    </row>
    <row r="291" spans="1:15" x14ac:dyDescent="0.3">
      <c r="A291" t="s">
        <v>304</v>
      </c>
      <c r="B291" t="s">
        <v>792</v>
      </c>
      <c r="C291" t="s">
        <v>1221</v>
      </c>
      <c r="D291" t="s">
        <v>1373</v>
      </c>
      <c r="E291" t="s">
        <v>1374</v>
      </c>
      <c r="F291" t="s">
        <v>1378</v>
      </c>
      <c r="G291" t="s">
        <v>1384</v>
      </c>
      <c r="H291" t="s">
        <v>1389</v>
      </c>
      <c r="I291" t="s">
        <v>1393</v>
      </c>
      <c r="J291" t="s">
        <v>1400</v>
      </c>
      <c r="K291" t="s">
        <v>1606</v>
      </c>
      <c r="L291">
        <v>142.19</v>
      </c>
      <c r="M291">
        <v>10</v>
      </c>
      <c r="O291">
        <v>34.32</v>
      </c>
    </row>
    <row r="292" spans="1:15" x14ac:dyDescent="0.3">
      <c r="A292" t="s">
        <v>305</v>
      </c>
      <c r="B292" t="s">
        <v>793</v>
      </c>
      <c r="C292" t="s">
        <v>1222</v>
      </c>
      <c r="D292" t="s">
        <v>1362</v>
      </c>
      <c r="E292" t="s">
        <v>1374</v>
      </c>
      <c r="F292" t="s">
        <v>1378</v>
      </c>
      <c r="G292" t="s">
        <v>1387</v>
      </c>
      <c r="H292" t="s">
        <v>1390</v>
      </c>
      <c r="I292" t="s">
        <v>1392</v>
      </c>
      <c r="J292" t="s">
        <v>1401</v>
      </c>
      <c r="K292" t="s">
        <v>1612</v>
      </c>
      <c r="L292">
        <v>507.04</v>
      </c>
      <c r="M292">
        <v>9</v>
      </c>
      <c r="N292">
        <v>0.15</v>
      </c>
      <c r="O292">
        <v>112.33</v>
      </c>
    </row>
    <row r="293" spans="1:15" x14ac:dyDescent="0.3">
      <c r="A293" t="s">
        <v>306</v>
      </c>
      <c r="B293" t="s">
        <v>551</v>
      </c>
      <c r="C293" t="s">
        <v>1017</v>
      </c>
      <c r="D293" t="s">
        <v>1362</v>
      </c>
      <c r="E293" t="s">
        <v>1375</v>
      </c>
      <c r="F293" t="s">
        <v>1379</v>
      </c>
      <c r="G293" t="s">
        <v>1383</v>
      </c>
      <c r="H293" t="s">
        <v>1389</v>
      </c>
      <c r="I293" t="s">
        <v>1393</v>
      </c>
      <c r="J293" t="s">
        <v>1399</v>
      </c>
      <c r="K293" t="s">
        <v>1548</v>
      </c>
      <c r="L293">
        <v>1107.01</v>
      </c>
      <c r="M293">
        <v>3</v>
      </c>
      <c r="N293">
        <v>0.1</v>
      </c>
      <c r="O293">
        <v>57.51</v>
      </c>
    </row>
    <row r="294" spans="1:15" x14ac:dyDescent="0.3">
      <c r="A294" t="s">
        <v>307</v>
      </c>
      <c r="B294" t="s">
        <v>794</v>
      </c>
      <c r="C294" t="s">
        <v>1223</v>
      </c>
      <c r="D294" t="s">
        <v>1361</v>
      </c>
      <c r="E294" t="s">
        <v>1375</v>
      </c>
      <c r="F294" t="s">
        <v>1380</v>
      </c>
      <c r="G294" t="s">
        <v>1385</v>
      </c>
      <c r="H294" t="s">
        <v>1390</v>
      </c>
      <c r="I294" t="s">
        <v>1393</v>
      </c>
      <c r="J294" t="s">
        <v>1396</v>
      </c>
      <c r="K294" t="s">
        <v>1451</v>
      </c>
      <c r="L294">
        <v>1074.76</v>
      </c>
      <c r="M294">
        <v>9</v>
      </c>
      <c r="N294">
        <v>0.15</v>
      </c>
      <c r="O294">
        <v>256.58999999999997</v>
      </c>
    </row>
    <row r="295" spans="1:15" x14ac:dyDescent="0.3">
      <c r="A295" t="s">
        <v>308</v>
      </c>
      <c r="B295" t="s">
        <v>705</v>
      </c>
      <c r="C295" t="s">
        <v>1224</v>
      </c>
      <c r="D295" t="s">
        <v>1361</v>
      </c>
      <c r="E295" t="s">
        <v>1376</v>
      </c>
      <c r="F295" t="s">
        <v>1378</v>
      </c>
      <c r="G295" t="s">
        <v>1386</v>
      </c>
      <c r="H295" t="s">
        <v>1388</v>
      </c>
      <c r="I295" t="s">
        <v>1392</v>
      </c>
      <c r="J295" t="s">
        <v>1397</v>
      </c>
      <c r="K295" t="s">
        <v>1521</v>
      </c>
      <c r="L295">
        <v>905.22</v>
      </c>
      <c r="M295">
        <v>3</v>
      </c>
      <c r="N295">
        <v>0.15</v>
      </c>
      <c r="O295">
        <v>128.27000000000001</v>
      </c>
    </row>
    <row r="296" spans="1:15" x14ac:dyDescent="0.3">
      <c r="A296" t="s">
        <v>309</v>
      </c>
      <c r="B296" t="s">
        <v>795</v>
      </c>
      <c r="C296" t="s">
        <v>1225</v>
      </c>
      <c r="D296" t="s">
        <v>1367</v>
      </c>
      <c r="E296" t="s">
        <v>1374</v>
      </c>
      <c r="F296" t="s">
        <v>1379</v>
      </c>
      <c r="G296" t="s">
        <v>1382</v>
      </c>
      <c r="H296" t="s">
        <v>1388</v>
      </c>
      <c r="I296" t="s">
        <v>1392</v>
      </c>
      <c r="J296" t="s">
        <v>1395</v>
      </c>
      <c r="K296" t="s">
        <v>1431</v>
      </c>
      <c r="L296">
        <v>1044.28</v>
      </c>
      <c r="M296">
        <v>9</v>
      </c>
      <c r="N296">
        <v>0.1</v>
      </c>
      <c r="O296">
        <v>178.79</v>
      </c>
    </row>
    <row r="297" spans="1:15" x14ac:dyDescent="0.3">
      <c r="A297" t="s">
        <v>310</v>
      </c>
      <c r="B297" t="s">
        <v>796</v>
      </c>
      <c r="C297" t="s">
        <v>1069</v>
      </c>
      <c r="D297" t="s">
        <v>1360</v>
      </c>
      <c r="E297" t="s">
        <v>1375</v>
      </c>
      <c r="F297" t="s">
        <v>1379</v>
      </c>
      <c r="G297" t="s">
        <v>1386</v>
      </c>
      <c r="H297" t="s">
        <v>1390</v>
      </c>
      <c r="I297" t="s">
        <v>1393</v>
      </c>
      <c r="J297" t="s">
        <v>1399</v>
      </c>
      <c r="K297" t="s">
        <v>1613</v>
      </c>
      <c r="L297">
        <v>1159.68</v>
      </c>
      <c r="M297">
        <v>1</v>
      </c>
      <c r="N297">
        <v>0</v>
      </c>
      <c r="O297">
        <v>199.27</v>
      </c>
    </row>
    <row r="298" spans="1:15" x14ac:dyDescent="0.3">
      <c r="A298" t="s">
        <v>311</v>
      </c>
      <c r="B298" t="s">
        <v>797</v>
      </c>
      <c r="C298" t="s">
        <v>1226</v>
      </c>
      <c r="D298" t="s">
        <v>1359</v>
      </c>
      <c r="E298" t="s">
        <v>1376</v>
      </c>
      <c r="F298" t="s">
        <v>1380</v>
      </c>
      <c r="G298" t="s">
        <v>1385</v>
      </c>
      <c r="H298" t="s">
        <v>1391</v>
      </c>
      <c r="I298" t="s">
        <v>1394</v>
      </c>
      <c r="J298" t="s">
        <v>1403</v>
      </c>
      <c r="K298" t="s">
        <v>1614</v>
      </c>
      <c r="L298">
        <v>229.36</v>
      </c>
      <c r="M298">
        <v>2</v>
      </c>
      <c r="N298">
        <v>0.1</v>
      </c>
      <c r="O298">
        <v>64.5</v>
      </c>
    </row>
    <row r="299" spans="1:15" x14ac:dyDescent="0.3">
      <c r="A299" t="s">
        <v>312</v>
      </c>
      <c r="B299" t="s">
        <v>798</v>
      </c>
      <c r="C299" t="s">
        <v>1126</v>
      </c>
      <c r="D299" t="s">
        <v>1369</v>
      </c>
      <c r="E299" t="s">
        <v>1376</v>
      </c>
      <c r="F299" t="s">
        <v>1380</v>
      </c>
      <c r="G299" t="s">
        <v>1386</v>
      </c>
      <c r="H299" t="s">
        <v>1391</v>
      </c>
      <c r="I299" t="s">
        <v>1392</v>
      </c>
      <c r="J299" t="s">
        <v>1395</v>
      </c>
      <c r="K299" t="s">
        <v>1615</v>
      </c>
      <c r="L299">
        <v>1018.3</v>
      </c>
      <c r="M299">
        <v>1</v>
      </c>
      <c r="N299">
        <v>0.15</v>
      </c>
      <c r="O299">
        <v>33.770000000000003</v>
      </c>
    </row>
    <row r="300" spans="1:15" x14ac:dyDescent="0.3">
      <c r="A300" t="s">
        <v>313</v>
      </c>
      <c r="B300" t="s">
        <v>799</v>
      </c>
      <c r="C300" t="s">
        <v>1227</v>
      </c>
      <c r="D300" t="s">
        <v>1359</v>
      </c>
      <c r="E300" t="s">
        <v>1374</v>
      </c>
      <c r="F300" t="s">
        <v>1378</v>
      </c>
      <c r="G300" t="s">
        <v>1385</v>
      </c>
      <c r="H300" t="s">
        <v>1389</v>
      </c>
      <c r="I300" t="s">
        <v>1393</v>
      </c>
      <c r="J300" t="s">
        <v>1399</v>
      </c>
      <c r="K300" t="s">
        <v>1487</v>
      </c>
      <c r="L300">
        <v>106</v>
      </c>
      <c r="M300">
        <v>6</v>
      </c>
      <c r="O300">
        <v>-9.5399999999999991</v>
      </c>
    </row>
    <row r="301" spans="1:15" x14ac:dyDescent="0.3">
      <c r="A301" t="s">
        <v>314</v>
      </c>
      <c r="B301" t="s">
        <v>800</v>
      </c>
      <c r="C301" t="s">
        <v>1217</v>
      </c>
      <c r="D301" t="s">
        <v>1360</v>
      </c>
      <c r="E301" t="s">
        <v>1374</v>
      </c>
      <c r="F301" t="s">
        <v>1380</v>
      </c>
      <c r="G301" t="s">
        <v>1381</v>
      </c>
      <c r="H301" t="s">
        <v>1391</v>
      </c>
      <c r="I301" t="s">
        <v>1392</v>
      </c>
      <c r="J301" t="s">
        <v>1395</v>
      </c>
      <c r="K301" t="s">
        <v>1616</v>
      </c>
      <c r="L301">
        <v>411.62</v>
      </c>
      <c r="M301">
        <v>6</v>
      </c>
      <c r="N301">
        <v>0.15</v>
      </c>
      <c r="O301">
        <v>-37.369999999999997</v>
      </c>
    </row>
    <row r="302" spans="1:15" x14ac:dyDescent="0.3">
      <c r="A302" t="s">
        <v>315</v>
      </c>
      <c r="B302" t="s">
        <v>787</v>
      </c>
      <c r="C302" t="s">
        <v>1228</v>
      </c>
      <c r="D302" t="s">
        <v>1373</v>
      </c>
      <c r="E302" t="s">
        <v>1374</v>
      </c>
      <c r="F302" t="s">
        <v>1379</v>
      </c>
      <c r="G302" t="s">
        <v>1381</v>
      </c>
      <c r="H302" t="s">
        <v>1391</v>
      </c>
      <c r="I302" t="s">
        <v>1393</v>
      </c>
      <c r="J302" t="s">
        <v>1400</v>
      </c>
      <c r="K302" t="s">
        <v>1463</v>
      </c>
      <c r="L302">
        <v>1151.5</v>
      </c>
      <c r="M302">
        <v>6</v>
      </c>
      <c r="N302">
        <v>0.2</v>
      </c>
      <c r="O302">
        <v>297.05</v>
      </c>
    </row>
    <row r="303" spans="1:15" x14ac:dyDescent="0.3">
      <c r="A303" t="s">
        <v>316</v>
      </c>
      <c r="B303" t="s">
        <v>801</v>
      </c>
      <c r="C303" t="s">
        <v>1191</v>
      </c>
      <c r="D303" t="s">
        <v>1370</v>
      </c>
      <c r="E303" t="s">
        <v>1374</v>
      </c>
      <c r="F303" t="s">
        <v>1380</v>
      </c>
      <c r="G303" t="s">
        <v>1382</v>
      </c>
      <c r="H303" t="s">
        <v>1388</v>
      </c>
      <c r="I303" t="s">
        <v>1394</v>
      </c>
      <c r="J303" t="s">
        <v>1403</v>
      </c>
      <c r="K303" t="s">
        <v>1617</v>
      </c>
      <c r="L303">
        <v>71.739999999999995</v>
      </c>
      <c r="M303">
        <v>4</v>
      </c>
      <c r="N303">
        <v>0.15</v>
      </c>
      <c r="O303">
        <v>4.09</v>
      </c>
    </row>
    <row r="304" spans="1:15" x14ac:dyDescent="0.3">
      <c r="A304" t="s">
        <v>317</v>
      </c>
      <c r="B304" t="s">
        <v>802</v>
      </c>
      <c r="C304" t="s">
        <v>1190</v>
      </c>
      <c r="D304" t="s">
        <v>1365</v>
      </c>
      <c r="E304" t="s">
        <v>1375</v>
      </c>
      <c r="F304" t="s">
        <v>1378</v>
      </c>
      <c r="G304" t="s">
        <v>1381</v>
      </c>
      <c r="H304" t="s">
        <v>1389</v>
      </c>
      <c r="I304" t="s">
        <v>1393</v>
      </c>
      <c r="J304" t="s">
        <v>1399</v>
      </c>
      <c r="K304" t="s">
        <v>1618</v>
      </c>
      <c r="L304">
        <v>1006.08</v>
      </c>
      <c r="M304">
        <v>4</v>
      </c>
      <c r="O304">
        <v>215.68</v>
      </c>
    </row>
    <row r="305" spans="1:15" x14ac:dyDescent="0.3">
      <c r="A305" t="s">
        <v>318</v>
      </c>
      <c r="B305" t="s">
        <v>803</v>
      </c>
      <c r="C305" t="s">
        <v>1229</v>
      </c>
      <c r="D305" t="s">
        <v>1372</v>
      </c>
      <c r="E305" t="s">
        <v>1376</v>
      </c>
      <c r="F305" t="s">
        <v>1377</v>
      </c>
      <c r="G305" t="s">
        <v>1382</v>
      </c>
      <c r="H305" t="s">
        <v>1389</v>
      </c>
      <c r="I305" t="s">
        <v>1392</v>
      </c>
      <c r="J305" t="s">
        <v>1401</v>
      </c>
      <c r="K305" t="s">
        <v>1619</v>
      </c>
      <c r="L305">
        <v>84.04</v>
      </c>
      <c r="M305">
        <v>5</v>
      </c>
      <c r="O305">
        <v>-13.85</v>
      </c>
    </row>
    <row r="306" spans="1:15" x14ac:dyDescent="0.3">
      <c r="A306" t="s">
        <v>319</v>
      </c>
      <c r="B306" t="s">
        <v>788</v>
      </c>
      <c r="C306" t="s">
        <v>1230</v>
      </c>
      <c r="D306" t="s">
        <v>1359</v>
      </c>
      <c r="E306" t="s">
        <v>1374</v>
      </c>
      <c r="F306" t="s">
        <v>1380</v>
      </c>
      <c r="G306" t="s">
        <v>1384</v>
      </c>
      <c r="H306" t="s">
        <v>1388</v>
      </c>
      <c r="I306" t="s">
        <v>1394</v>
      </c>
      <c r="J306" t="s">
        <v>1398</v>
      </c>
      <c r="K306" t="s">
        <v>1492</v>
      </c>
      <c r="L306">
        <v>159.6</v>
      </c>
      <c r="M306">
        <v>1</v>
      </c>
      <c r="O306">
        <v>-26.87</v>
      </c>
    </row>
    <row r="307" spans="1:15" x14ac:dyDescent="0.3">
      <c r="A307" t="s">
        <v>320</v>
      </c>
      <c r="B307" t="s">
        <v>804</v>
      </c>
      <c r="C307" t="s">
        <v>1231</v>
      </c>
      <c r="D307" t="s">
        <v>1366</v>
      </c>
      <c r="E307" t="s">
        <v>1375</v>
      </c>
      <c r="F307" t="s">
        <v>1378</v>
      </c>
      <c r="G307" t="s">
        <v>1387</v>
      </c>
      <c r="H307" t="s">
        <v>1389</v>
      </c>
      <c r="I307" t="s">
        <v>1393</v>
      </c>
      <c r="J307" t="s">
        <v>1400</v>
      </c>
      <c r="K307" t="s">
        <v>1413</v>
      </c>
      <c r="L307">
        <v>352.19</v>
      </c>
      <c r="M307">
        <v>8</v>
      </c>
      <c r="N307">
        <v>0.2</v>
      </c>
      <c r="O307">
        <v>-0.86</v>
      </c>
    </row>
    <row r="308" spans="1:15" x14ac:dyDescent="0.3">
      <c r="A308" t="s">
        <v>321</v>
      </c>
      <c r="B308" t="s">
        <v>805</v>
      </c>
      <c r="C308" t="s">
        <v>1232</v>
      </c>
      <c r="D308" t="s">
        <v>1363</v>
      </c>
      <c r="E308" t="s">
        <v>1375</v>
      </c>
      <c r="F308" t="s">
        <v>1380</v>
      </c>
      <c r="G308" t="s">
        <v>1383</v>
      </c>
      <c r="H308" t="s">
        <v>1389</v>
      </c>
      <c r="I308" t="s">
        <v>1394</v>
      </c>
      <c r="J308" t="s">
        <v>1398</v>
      </c>
      <c r="K308" t="s">
        <v>1408</v>
      </c>
      <c r="L308">
        <v>1066.6300000000001</v>
      </c>
      <c r="M308">
        <v>6</v>
      </c>
      <c r="N308">
        <v>0</v>
      </c>
      <c r="O308">
        <v>81.88</v>
      </c>
    </row>
    <row r="309" spans="1:15" x14ac:dyDescent="0.3">
      <c r="A309" t="s">
        <v>322</v>
      </c>
      <c r="B309" t="s">
        <v>806</v>
      </c>
      <c r="C309" t="s">
        <v>1233</v>
      </c>
      <c r="D309" t="s">
        <v>1359</v>
      </c>
      <c r="E309" t="s">
        <v>1375</v>
      </c>
      <c r="F309" t="s">
        <v>1378</v>
      </c>
      <c r="G309" t="s">
        <v>1387</v>
      </c>
      <c r="H309" t="s">
        <v>1391</v>
      </c>
      <c r="I309" t="s">
        <v>1394</v>
      </c>
      <c r="J309" t="s">
        <v>1402</v>
      </c>
      <c r="K309" t="s">
        <v>1461</v>
      </c>
      <c r="L309">
        <v>902.99</v>
      </c>
      <c r="M309">
        <v>6</v>
      </c>
      <c r="N309">
        <v>0.1</v>
      </c>
      <c r="O309">
        <v>5.71</v>
      </c>
    </row>
    <row r="310" spans="1:15" x14ac:dyDescent="0.3">
      <c r="A310" t="s">
        <v>323</v>
      </c>
      <c r="B310" t="s">
        <v>807</v>
      </c>
      <c r="C310" t="s">
        <v>1012</v>
      </c>
      <c r="D310" t="s">
        <v>1362</v>
      </c>
      <c r="E310" t="s">
        <v>1375</v>
      </c>
      <c r="F310" t="s">
        <v>1379</v>
      </c>
      <c r="G310" t="s">
        <v>1381</v>
      </c>
      <c r="H310" t="s">
        <v>1390</v>
      </c>
      <c r="I310" t="s">
        <v>1393</v>
      </c>
      <c r="J310" t="s">
        <v>1396</v>
      </c>
      <c r="K310" t="s">
        <v>1620</v>
      </c>
      <c r="L310">
        <v>1025.6600000000001</v>
      </c>
      <c r="M310">
        <v>9</v>
      </c>
      <c r="N310">
        <v>0.2</v>
      </c>
      <c r="O310">
        <v>125.48</v>
      </c>
    </row>
    <row r="311" spans="1:15" x14ac:dyDescent="0.3">
      <c r="A311" t="s">
        <v>324</v>
      </c>
      <c r="B311" t="s">
        <v>808</v>
      </c>
      <c r="C311" t="s">
        <v>1234</v>
      </c>
      <c r="D311" t="s">
        <v>1368</v>
      </c>
      <c r="E311" t="s">
        <v>1376</v>
      </c>
      <c r="F311" t="s">
        <v>1377</v>
      </c>
      <c r="G311" t="s">
        <v>1384</v>
      </c>
      <c r="H311" t="s">
        <v>1391</v>
      </c>
      <c r="I311" t="s">
        <v>1394</v>
      </c>
      <c r="J311" t="s">
        <v>1403</v>
      </c>
      <c r="K311" t="s">
        <v>1621</v>
      </c>
      <c r="L311">
        <v>171.29</v>
      </c>
      <c r="M311">
        <v>4</v>
      </c>
      <c r="N311">
        <v>0</v>
      </c>
      <c r="O311">
        <v>-9.84</v>
      </c>
    </row>
    <row r="312" spans="1:15" x14ac:dyDescent="0.3">
      <c r="A312" t="s">
        <v>325</v>
      </c>
      <c r="B312" t="s">
        <v>809</v>
      </c>
      <c r="C312" t="s">
        <v>1235</v>
      </c>
      <c r="D312" t="s">
        <v>1363</v>
      </c>
      <c r="E312" t="s">
        <v>1374</v>
      </c>
      <c r="F312" t="s">
        <v>1377</v>
      </c>
      <c r="G312" t="s">
        <v>1384</v>
      </c>
      <c r="H312" t="s">
        <v>1391</v>
      </c>
      <c r="I312" t="s">
        <v>1393</v>
      </c>
      <c r="J312" t="s">
        <v>1396</v>
      </c>
      <c r="K312" t="s">
        <v>1598</v>
      </c>
      <c r="L312">
        <v>450.1</v>
      </c>
      <c r="M312">
        <v>6</v>
      </c>
      <c r="N312">
        <v>0.2</v>
      </c>
      <c r="O312">
        <v>-52.07</v>
      </c>
    </row>
    <row r="313" spans="1:15" x14ac:dyDescent="0.3">
      <c r="A313" t="s">
        <v>326</v>
      </c>
      <c r="B313" t="s">
        <v>810</v>
      </c>
      <c r="C313" t="s">
        <v>1236</v>
      </c>
      <c r="D313" t="s">
        <v>1359</v>
      </c>
      <c r="E313" t="s">
        <v>1376</v>
      </c>
      <c r="F313" t="s">
        <v>1378</v>
      </c>
      <c r="G313" t="s">
        <v>1383</v>
      </c>
      <c r="H313" t="s">
        <v>1390</v>
      </c>
      <c r="I313" t="s">
        <v>1394</v>
      </c>
      <c r="J313" t="s">
        <v>1403</v>
      </c>
      <c r="K313" t="s">
        <v>1622</v>
      </c>
      <c r="L313">
        <v>545.52</v>
      </c>
      <c r="M313">
        <v>5</v>
      </c>
      <c r="N313">
        <v>0.2</v>
      </c>
      <c r="O313">
        <v>41.37</v>
      </c>
    </row>
    <row r="314" spans="1:15" x14ac:dyDescent="0.3">
      <c r="A314" t="s">
        <v>327</v>
      </c>
      <c r="B314" t="s">
        <v>811</v>
      </c>
      <c r="C314" t="s">
        <v>1237</v>
      </c>
      <c r="D314" t="s">
        <v>1365</v>
      </c>
      <c r="E314" t="s">
        <v>1375</v>
      </c>
      <c r="F314" t="s">
        <v>1380</v>
      </c>
      <c r="G314" t="s">
        <v>1383</v>
      </c>
      <c r="H314" t="s">
        <v>1391</v>
      </c>
      <c r="I314" t="s">
        <v>1393</v>
      </c>
      <c r="J314" t="s">
        <v>1400</v>
      </c>
      <c r="K314" t="s">
        <v>1413</v>
      </c>
      <c r="L314">
        <v>1072.68</v>
      </c>
      <c r="M314">
        <v>9</v>
      </c>
      <c r="N314">
        <v>0</v>
      </c>
      <c r="O314">
        <v>221.32</v>
      </c>
    </row>
    <row r="315" spans="1:15" x14ac:dyDescent="0.3">
      <c r="A315" t="s">
        <v>328</v>
      </c>
      <c r="B315" t="s">
        <v>812</v>
      </c>
      <c r="C315" t="s">
        <v>1238</v>
      </c>
      <c r="D315" t="s">
        <v>1368</v>
      </c>
      <c r="E315" t="s">
        <v>1374</v>
      </c>
      <c r="F315" t="s">
        <v>1380</v>
      </c>
      <c r="G315" t="s">
        <v>1385</v>
      </c>
      <c r="H315" t="s">
        <v>1391</v>
      </c>
      <c r="I315" t="s">
        <v>1393</v>
      </c>
      <c r="J315" t="s">
        <v>1400</v>
      </c>
      <c r="K315" t="s">
        <v>1463</v>
      </c>
      <c r="L315">
        <v>451.67</v>
      </c>
      <c r="M315">
        <v>4</v>
      </c>
      <c r="O315">
        <v>75.25</v>
      </c>
    </row>
    <row r="316" spans="1:15" x14ac:dyDescent="0.3">
      <c r="A316" t="s">
        <v>329</v>
      </c>
      <c r="B316" t="s">
        <v>813</v>
      </c>
      <c r="C316" t="s">
        <v>1239</v>
      </c>
      <c r="D316" t="s">
        <v>1364</v>
      </c>
      <c r="E316" t="s">
        <v>1374</v>
      </c>
      <c r="F316" t="s">
        <v>1378</v>
      </c>
      <c r="G316" t="s">
        <v>1382</v>
      </c>
      <c r="H316" t="s">
        <v>1389</v>
      </c>
      <c r="I316" t="s">
        <v>1393</v>
      </c>
      <c r="J316" t="s">
        <v>1396</v>
      </c>
      <c r="K316" t="s">
        <v>1563</v>
      </c>
      <c r="L316">
        <v>215.7</v>
      </c>
      <c r="M316">
        <v>9</v>
      </c>
      <c r="N316">
        <v>0.1</v>
      </c>
      <c r="O316">
        <v>4.9800000000000004</v>
      </c>
    </row>
    <row r="317" spans="1:15" x14ac:dyDescent="0.3">
      <c r="A317" t="s">
        <v>330</v>
      </c>
      <c r="B317" t="s">
        <v>814</v>
      </c>
      <c r="C317" t="s">
        <v>1240</v>
      </c>
      <c r="D317" t="s">
        <v>1360</v>
      </c>
      <c r="E317" t="s">
        <v>1376</v>
      </c>
      <c r="F317" t="s">
        <v>1377</v>
      </c>
      <c r="G317" t="s">
        <v>1385</v>
      </c>
      <c r="H317" t="s">
        <v>1388</v>
      </c>
      <c r="I317" t="s">
        <v>1394</v>
      </c>
      <c r="J317" t="s">
        <v>1402</v>
      </c>
      <c r="K317" t="s">
        <v>1623</v>
      </c>
      <c r="L317">
        <v>94.18</v>
      </c>
      <c r="M317">
        <v>6</v>
      </c>
      <c r="N317">
        <v>0.1</v>
      </c>
      <c r="O317">
        <v>-16.82</v>
      </c>
    </row>
    <row r="318" spans="1:15" x14ac:dyDescent="0.3">
      <c r="A318" t="s">
        <v>331</v>
      </c>
      <c r="B318" t="s">
        <v>718</v>
      </c>
      <c r="C318" t="s">
        <v>1107</v>
      </c>
      <c r="D318" t="s">
        <v>1368</v>
      </c>
      <c r="E318" t="s">
        <v>1374</v>
      </c>
      <c r="F318" t="s">
        <v>1377</v>
      </c>
      <c r="G318" t="s">
        <v>1384</v>
      </c>
      <c r="H318" t="s">
        <v>1388</v>
      </c>
      <c r="I318" t="s">
        <v>1392</v>
      </c>
      <c r="J318" t="s">
        <v>1395</v>
      </c>
      <c r="K318" t="s">
        <v>1624</v>
      </c>
      <c r="L318">
        <v>1162.76</v>
      </c>
      <c r="M318">
        <v>5</v>
      </c>
      <c r="N318">
        <v>0.15</v>
      </c>
      <c r="O318">
        <v>103.85</v>
      </c>
    </row>
    <row r="319" spans="1:15" x14ac:dyDescent="0.3">
      <c r="A319" t="s">
        <v>332</v>
      </c>
      <c r="B319" t="s">
        <v>815</v>
      </c>
      <c r="C319" t="s">
        <v>1038</v>
      </c>
      <c r="D319" t="s">
        <v>1361</v>
      </c>
      <c r="E319" t="s">
        <v>1375</v>
      </c>
      <c r="F319" t="s">
        <v>1377</v>
      </c>
      <c r="G319" t="s">
        <v>1387</v>
      </c>
      <c r="H319" t="s">
        <v>1390</v>
      </c>
      <c r="I319" t="s">
        <v>1392</v>
      </c>
      <c r="J319" t="s">
        <v>1395</v>
      </c>
      <c r="K319" t="s">
        <v>1414</v>
      </c>
      <c r="L319">
        <v>498.89</v>
      </c>
      <c r="M319">
        <v>6</v>
      </c>
      <c r="N319">
        <v>0.2</v>
      </c>
      <c r="O319">
        <v>97.95</v>
      </c>
    </row>
    <row r="320" spans="1:15" x14ac:dyDescent="0.3">
      <c r="A320" t="s">
        <v>333</v>
      </c>
      <c r="B320" t="s">
        <v>816</v>
      </c>
      <c r="C320" t="s">
        <v>1241</v>
      </c>
      <c r="D320" t="s">
        <v>1368</v>
      </c>
      <c r="E320" t="s">
        <v>1376</v>
      </c>
      <c r="F320" t="s">
        <v>1380</v>
      </c>
      <c r="G320" t="s">
        <v>1385</v>
      </c>
      <c r="H320" t="s">
        <v>1389</v>
      </c>
      <c r="I320" t="s">
        <v>1392</v>
      </c>
      <c r="J320" t="s">
        <v>1401</v>
      </c>
      <c r="K320" t="s">
        <v>1625</v>
      </c>
      <c r="L320">
        <v>240.55</v>
      </c>
      <c r="M320">
        <v>6</v>
      </c>
      <c r="O320">
        <v>38.159999999999997</v>
      </c>
    </row>
    <row r="321" spans="1:15" x14ac:dyDescent="0.3">
      <c r="A321" t="s">
        <v>334</v>
      </c>
      <c r="B321" t="s">
        <v>817</v>
      </c>
      <c r="C321" t="s">
        <v>1048</v>
      </c>
      <c r="D321" t="s">
        <v>1359</v>
      </c>
      <c r="E321" t="s">
        <v>1375</v>
      </c>
      <c r="F321" t="s">
        <v>1380</v>
      </c>
      <c r="G321" t="s">
        <v>1383</v>
      </c>
      <c r="H321" t="s">
        <v>1390</v>
      </c>
      <c r="I321" t="s">
        <v>1392</v>
      </c>
      <c r="J321" t="s">
        <v>1395</v>
      </c>
      <c r="K321" t="s">
        <v>1566</v>
      </c>
      <c r="L321">
        <v>1003.37</v>
      </c>
      <c r="M321">
        <v>1</v>
      </c>
      <c r="N321">
        <v>0.1</v>
      </c>
      <c r="O321">
        <v>-179.03</v>
      </c>
    </row>
    <row r="322" spans="1:15" x14ac:dyDescent="0.3">
      <c r="A322" t="s">
        <v>335</v>
      </c>
      <c r="B322" t="s">
        <v>818</v>
      </c>
      <c r="C322" t="s">
        <v>1242</v>
      </c>
      <c r="D322" t="s">
        <v>1371</v>
      </c>
      <c r="E322" t="s">
        <v>1375</v>
      </c>
      <c r="F322" t="s">
        <v>1377</v>
      </c>
      <c r="G322" t="s">
        <v>1383</v>
      </c>
      <c r="H322" t="s">
        <v>1389</v>
      </c>
      <c r="I322" t="s">
        <v>1392</v>
      </c>
      <c r="J322" t="s">
        <v>1395</v>
      </c>
      <c r="K322" t="s">
        <v>1626</v>
      </c>
      <c r="L322">
        <v>1150.72</v>
      </c>
      <c r="M322">
        <v>10</v>
      </c>
      <c r="O322">
        <v>136.72</v>
      </c>
    </row>
    <row r="323" spans="1:15" x14ac:dyDescent="0.3">
      <c r="A323" t="s">
        <v>336</v>
      </c>
      <c r="B323" t="s">
        <v>748</v>
      </c>
      <c r="C323" t="s">
        <v>1243</v>
      </c>
      <c r="D323" t="s">
        <v>1371</v>
      </c>
      <c r="E323" t="s">
        <v>1374</v>
      </c>
      <c r="F323" t="s">
        <v>1379</v>
      </c>
      <c r="G323" t="s">
        <v>1385</v>
      </c>
      <c r="H323" t="s">
        <v>1388</v>
      </c>
      <c r="I323" t="s">
        <v>1394</v>
      </c>
      <c r="J323" t="s">
        <v>1398</v>
      </c>
      <c r="K323" t="s">
        <v>1627</v>
      </c>
      <c r="L323">
        <v>188.4</v>
      </c>
      <c r="M323">
        <v>10</v>
      </c>
      <c r="N323">
        <v>0.1</v>
      </c>
      <c r="O323">
        <v>21.03</v>
      </c>
    </row>
    <row r="324" spans="1:15" x14ac:dyDescent="0.3">
      <c r="A324" t="s">
        <v>337</v>
      </c>
      <c r="B324" t="s">
        <v>819</v>
      </c>
      <c r="C324" t="s">
        <v>975</v>
      </c>
      <c r="D324" t="s">
        <v>1359</v>
      </c>
      <c r="E324" t="s">
        <v>1375</v>
      </c>
      <c r="F324" t="s">
        <v>1377</v>
      </c>
      <c r="G324" t="s">
        <v>1383</v>
      </c>
      <c r="H324" t="s">
        <v>1388</v>
      </c>
      <c r="I324" t="s">
        <v>1392</v>
      </c>
      <c r="J324" t="s">
        <v>1401</v>
      </c>
      <c r="K324" t="s">
        <v>1531</v>
      </c>
      <c r="L324">
        <v>39.54</v>
      </c>
      <c r="M324">
        <v>9</v>
      </c>
      <c r="O324">
        <v>5.62</v>
      </c>
    </row>
    <row r="325" spans="1:15" x14ac:dyDescent="0.3">
      <c r="A325" t="s">
        <v>338</v>
      </c>
      <c r="B325" t="s">
        <v>820</v>
      </c>
      <c r="C325" t="s">
        <v>1244</v>
      </c>
      <c r="D325" t="s">
        <v>1365</v>
      </c>
      <c r="E325" t="s">
        <v>1376</v>
      </c>
      <c r="F325" t="s">
        <v>1379</v>
      </c>
      <c r="G325" t="s">
        <v>1386</v>
      </c>
      <c r="H325" t="s">
        <v>1388</v>
      </c>
      <c r="I325" t="s">
        <v>1392</v>
      </c>
      <c r="J325" t="s">
        <v>1397</v>
      </c>
      <c r="K325" t="s">
        <v>1628</v>
      </c>
      <c r="L325">
        <v>798.08</v>
      </c>
      <c r="M325">
        <v>10</v>
      </c>
      <c r="O325">
        <v>170.6</v>
      </c>
    </row>
    <row r="326" spans="1:15" x14ac:dyDescent="0.3">
      <c r="A326" t="s">
        <v>339</v>
      </c>
      <c r="B326" t="s">
        <v>821</v>
      </c>
      <c r="C326" t="s">
        <v>1245</v>
      </c>
      <c r="D326" t="s">
        <v>1359</v>
      </c>
      <c r="E326" t="s">
        <v>1376</v>
      </c>
      <c r="F326" t="s">
        <v>1378</v>
      </c>
      <c r="G326" t="s">
        <v>1384</v>
      </c>
      <c r="H326" t="s">
        <v>1389</v>
      </c>
      <c r="I326" t="s">
        <v>1392</v>
      </c>
      <c r="J326" t="s">
        <v>1397</v>
      </c>
      <c r="K326" t="s">
        <v>1504</v>
      </c>
      <c r="L326">
        <v>951.68</v>
      </c>
      <c r="M326">
        <v>7</v>
      </c>
      <c r="N326">
        <v>0.15</v>
      </c>
      <c r="O326">
        <v>89.96</v>
      </c>
    </row>
    <row r="327" spans="1:15" x14ac:dyDescent="0.3">
      <c r="A327" t="s">
        <v>340</v>
      </c>
      <c r="B327" t="s">
        <v>822</v>
      </c>
      <c r="C327" t="s">
        <v>1159</v>
      </c>
      <c r="D327" t="s">
        <v>1361</v>
      </c>
      <c r="E327" t="s">
        <v>1374</v>
      </c>
      <c r="F327" t="s">
        <v>1380</v>
      </c>
      <c r="G327" t="s">
        <v>1383</v>
      </c>
      <c r="H327" t="s">
        <v>1388</v>
      </c>
      <c r="I327" t="s">
        <v>1394</v>
      </c>
      <c r="J327" t="s">
        <v>1398</v>
      </c>
      <c r="K327" t="s">
        <v>1578</v>
      </c>
      <c r="L327">
        <v>1054.58</v>
      </c>
      <c r="M327">
        <v>7</v>
      </c>
      <c r="N327">
        <v>0.15</v>
      </c>
      <c r="O327">
        <v>-111.25</v>
      </c>
    </row>
    <row r="328" spans="1:15" x14ac:dyDescent="0.3">
      <c r="A328" t="s">
        <v>341</v>
      </c>
      <c r="B328" t="s">
        <v>823</v>
      </c>
      <c r="C328" t="s">
        <v>1246</v>
      </c>
      <c r="D328" t="s">
        <v>1372</v>
      </c>
      <c r="E328" t="s">
        <v>1374</v>
      </c>
      <c r="F328" t="s">
        <v>1377</v>
      </c>
      <c r="G328" t="s">
        <v>1383</v>
      </c>
      <c r="H328" t="s">
        <v>1391</v>
      </c>
      <c r="I328" t="s">
        <v>1393</v>
      </c>
      <c r="J328" t="s">
        <v>1399</v>
      </c>
      <c r="K328" t="s">
        <v>1581</v>
      </c>
      <c r="L328">
        <v>502.44</v>
      </c>
      <c r="M328">
        <v>2</v>
      </c>
      <c r="N328">
        <v>0.1</v>
      </c>
      <c r="O328">
        <v>6.55</v>
      </c>
    </row>
    <row r="329" spans="1:15" x14ac:dyDescent="0.3">
      <c r="A329" t="s">
        <v>342</v>
      </c>
      <c r="B329" t="s">
        <v>824</v>
      </c>
      <c r="C329" t="s">
        <v>1200</v>
      </c>
      <c r="D329" t="s">
        <v>1360</v>
      </c>
      <c r="E329" t="s">
        <v>1376</v>
      </c>
      <c r="F329" t="s">
        <v>1379</v>
      </c>
      <c r="G329" t="s">
        <v>1383</v>
      </c>
      <c r="H329" t="s">
        <v>1391</v>
      </c>
      <c r="I329" t="s">
        <v>1392</v>
      </c>
      <c r="J329" t="s">
        <v>1397</v>
      </c>
      <c r="K329" t="s">
        <v>1504</v>
      </c>
      <c r="L329">
        <v>671.48</v>
      </c>
      <c r="M329">
        <v>9</v>
      </c>
      <c r="N329">
        <v>0.2</v>
      </c>
      <c r="O329">
        <v>-74.290000000000006</v>
      </c>
    </row>
    <row r="330" spans="1:15" x14ac:dyDescent="0.3">
      <c r="A330" t="s">
        <v>343</v>
      </c>
      <c r="B330" t="s">
        <v>825</v>
      </c>
      <c r="C330" t="s">
        <v>1089</v>
      </c>
      <c r="D330" t="s">
        <v>1363</v>
      </c>
      <c r="E330" t="s">
        <v>1375</v>
      </c>
      <c r="F330" t="s">
        <v>1377</v>
      </c>
      <c r="G330" t="s">
        <v>1386</v>
      </c>
      <c r="H330" t="s">
        <v>1391</v>
      </c>
      <c r="I330" t="s">
        <v>1393</v>
      </c>
      <c r="J330" t="s">
        <v>1400</v>
      </c>
      <c r="K330" t="s">
        <v>1629</v>
      </c>
      <c r="L330">
        <v>1028.9000000000001</v>
      </c>
      <c r="M330">
        <v>2</v>
      </c>
      <c r="N330">
        <v>0.1</v>
      </c>
      <c r="O330">
        <v>23.97</v>
      </c>
    </row>
    <row r="331" spans="1:15" x14ac:dyDescent="0.3">
      <c r="A331" t="s">
        <v>344</v>
      </c>
      <c r="B331" t="s">
        <v>826</v>
      </c>
      <c r="C331" t="s">
        <v>1247</v>
      </c>
      <c r="D331" t="s">
        <v>1360</v>
      </c>
      <c r="E331" t="s">
        <v>1375</v>
      </c>
      <c r="F331" t="s">
        <v>1380</v>
      </c>
      <c r="G331" t="s">
        <v>1384</v>
      </c>
      <c r="H331" t="s">
        <v>1390</v>
      </c>
      <c r="I331" t="s">
        <v>1392</v>
      </c>
      <c r="J331" t="s">
        <v>1397</v>
      </c>
      <c r="K331" t="s">
        <v>1630</v>
      </c>
      <c r="L331">
        <v>1158.19</v>
      </c>
      <c r="M331">
        <v>1</v>
      </c>
      <c r="N331">
        <v>0</v>
      </c>
      <c r="O331">
        <v>245.11</v>
      </c>
    </row>
    <row r="332" spans="1:15" x14ac:dyDescent="0.3">
      <c r="A332" t="s">
        <v>345</v>
      </c>
      <c r="B332" t="s">
        <v>827</v>
      </c>
      <c r="C332" t="s">
        <v>1248</v>
      </c>
      <c r="D332" t="s">
        <v>1359</v>
      </c>
      <c r="E332" t="s">
        <v>1375</v>
      </c>
      <c r="F332" t="s">
        <v>1377</v>
      </c>
      <c r="G332" t="s">
        <v>1385</v>
      </c>
      <c r="H332" t="s">
        <v>1388</v>
      </c>
      <c r="I332" t="s">
        <v>1392</v>
      </c>
      <c r="J332" t="s">
        <v>1395</v>
      </c>
      <c r="K332" t="s">
        <v>1631</v>
      </c>
      <c r="L332">
        <v>473.5</v>
      </c>
      <c r="M332">
        <v>7</v>
      </c>
      <c r="O332">
        <v>60.65</v>
      </c>
    </row>
    <row r="333" spans="1:15" x14ac:dyDescent="0.3">
      <c r="A333" t="s">
        <v>346</v>
      </c>
      <c r="B333" t="s">
        <v>828</v>
      </c>
      <c r="C333" t="s">
        <v>1168</v>
      </c>
      <c r="D333" t="s">
        <v>1359</v>
      </c>
      <c r="E333" t="s">
        <v>1374</v>
      </c>
      <c r="F333" t="s">
        <v>1380</v>
      </c>
      <c r="G333" t="s">
        <v>1384</v>
      </c>
      <c r="H333" t="s">
        <v>1390</v>
      </c>
      <c r="I333" t="s">
        <v>1394</v>
      </c>
      <c r="J333" t="s">
        <v>1402</v>
      </c>
      <c r="K333" t="s">
        <v>1577</v>
      </c>
      <c r="L333">
        <v>59.66</v>
      </c>
      <c r="M333">
        <v>10</v>
      </c>
      <c r="O333">
        <v>3.45</v>
      </c>
    </row>
    <row r="334" spans="1:15" x14ac:dyDescent="0.3">
      <c r="A334" t="s">
        <v>347</v>
      </c>
      <c r="B334" t="s">
        <v>829</v>
      </c>
      <c r="C334" t="s">
        <v>1249</v>
      </c>
      <c r="D334" t="s">
        <v>1359</v>
      </c>
      <c r="E334" t="s">
        <v>1374</v>
      </c>
      <c r="F334" t="s">
        <v>1380</v>
      </c>
      <c r="G334" t="s">
        <v>1381</v>
      </c>
      <c r="H334" t="s">
        <v>1391</v>
      </c>
      <c r="I334" t="s">
        <v>1392</v>
      </c>
      <c r="J334" t="s">
        <v>1397</v>
      </c>
      <c r="K334" t="s">
        <v>1632</v>
      </c>
      <c r="L334">
        <v>940.01</v>
      </c>
      <c r="M334">
        <v>6</v>
      </c>
      <c r="N334">
        <v>0.2</v>
      </c>
      <c r="O334">
        <v>2.56</v>
      </c>
    </row>
    <row r="335" spans="1:15" x14ac:dyDescent="0.3">
      <c r="A335" t="s">
        <v>348</v>
      </c>
      <c r="B335" t="s">
        <v>830</v>
      </c>
      <c r="C335" t="s">
        <v>1250</v>
      </c>
      <c r="D335" t="s">
        <v>1373</v>
      </c>
      <c r="E335" t="s">
        <v>1374</v>
      </c>
      <c r="F335" t="s">
        <v>1380</v>
      </c>
      <c r="G335" t="s">
        <v>1384</v>
      </c>
      <c r="H335" t="s">
        <v>1390</v>
      </c>
      <c r="I335" t="s">
        <v>1393</v>
      </c>
      <c r="J335" t="s">
        <v>1399</v>
      </c>
      <c r="K335" t="s">
        <v>1633</v>
      </c>
      <c r="L335">
        <v>430.02</v>
      </c>
      <c r="M335">
        <v>5</v>
      </c>
      <c r="N335">
        <v>0.1</v>
      </c>
      <c r="O335">
        <v>44.37</v>
      </c>
    </row>
    <row r="336" spans="1:15" x14ac:dyDescent="0.3">
      <c r="A336" t="s">
        <v>349</v>
      </c>
      <c r="B336" t="s">
        <v>831</v>
      </c>
      <c r="C336" t="s">
        <v>1121</v>
      </c>
      <c r="D336" t="s">
        <v>1364</v>
      </c>
      <c r="E336" t="s">
        <v>1376</v>
      </c>
      <c r="F336" t="s">
        <v>1377</v>
      </c>
      <c r="G336" t="s">
        <v>1385</v>
      </c>
      <c r="H336" t="s">
        <v>1389</v>
      </c>
      <c r="I336" t="s">
        <v>1393</v>
      </c>
      <c r="J336" t="s">
        <v>1400</v>
      </c>
      <c r="K336" t="s">
        <v>1634</v>
      </c>
      <c r="L336">
        <v>613.74</v>
      </c>
      <c r="M336">
        <v>6</v>
      </c>
      <c r="N336">
        <v>0</v>
      </c>
      <c r="O336">
        <v>123.65</v>
      </c>
    </row>
    <row r="337" spans="1:15" x14ac:dyDescent="0.3">
      <c r="A337" t="s">
        <v>350</v>
      </c>
      <c r="B337" t="s">
        <v>832</v>
      </c>
      <c r="C337" t="s">
        <v>1111</v>
      </c>
      <c r="D337" t="s">
        <v>1366</v>
      </c>
      <c r="E337" t="s">
        <v>1374</v>
      </c>
      <c r="F337" t="s">
        <v>1378</v>
      </c>
      <c r="G337" t="s">
        <v>1382</v>
      </c>
      <c r="H337" t="s">
        <v>1390</v>
      </c>
      <c r="I337" t="s">
        <v>1394</v>
      </c>
      <c r="J337" t="s">
        <v>1398</v>
      </c>
      <c r="K337" t="s">
        <v>1599</v>
      </c>
      <c r="L337">
        <v>563.65</v>
      </c>
      <c r="M337">
        <v>10</v>
      </c>
      <c r="N337">
        <v>0</v>
      </c>
      <c r="O337">
        <v>23.1</v>
      </c>
    </row>
    <row r="338" spans="1:15" x14ac:dyDescent="0.3">
      <c r="A338" t="s">
        <v>351</v>
      </c>
      <c r="B338" t="s">
        <v>833</v>
      </c>
      <c r="C338" t="s">
        <v>1251</v>
      </c>
      <c r="D338" t="s">
        <v>1371</v>
      </c>
      <c r="E338" t="s">
        <v>1374</v>
      </c>
      <c r="F338" t="s">
        <v>1378</v>
      </c>
      <c r="G338" t="s">
        <v>1385</v>
      </c>
      <c r="H338" t="s">
        <v>1391</v>
      </c>
      <c r="I338" t="s">
        <v>1393</v>
      </c>
      <c r="J338" t="s">
        <v>1396</v>
      </c>
      <c r="K338" t="s">
        <v>1563</v>
      </c>
      <c r="L338">
        <v>31.47</v>
      </c>
      <c r="M338">
        <v>5</v>
      </c>
      <c r="N338">
        <v>0.1</v>
      </c>
      <c r="O338">
        <v>-1.77</v>
      </c>
    </row>
    <row r="339" spans="1:15" x14ac:dyDescent="0.3">
      <c r="A339" t="s">
        <v>352</v>
      </c>
      <c r="B339" t="s">
        <v>834</v>
      </c>
      <c r="C339" t="s">
        <v>1252</v>
      </c>
      <c r="D339" t="s">
        <v>1368</v>
      </c>
      <c r="E339" t="s">
        <v>1375</v>
      </c>
      <c r="F339" t="s">
        <v>1378</v>
      </c>
      <c r="G339" t="s">
        <v>1387</v>
      </c>
      <c r="H339" t="s">
        <v>1390</v>
      </c>
      <c r="I339" t="s">
        <v>1394</v>
      </c>
      <c r="J339" t="s">
        <v>1402</v>
      </c>
      <c r="K339" t="s">
        <v>1432</v>
      </c>
      <c r="L339">
        <v>1137.5999999999999</v>
      </c>
      <c r="M339">
        <v>4</v>
      </c>
      <c r="N339">
        <v>0.2</v>
      </c>
      <c r="O339">
        <v>191.75</v>
      </c>
    </row>
    <row r="340" spans="1:15" x14ac:dyDescent="0.3">
      <c r="A340" t="s">
        <v>353</v>
      </c>
      <c r="B340" t="s">
        <v>835</v>
      </c>
      <c r="C340" t="s">
        <v>1253</v>
      </c>
      <c r="D340" t="s">
        <v>1366</v>
      </c>
      <c r="E340" t="s">
        <v>1376</v>
      </c>
      <c r="F340" t="s">
        <v>1379</v>
      </c>
      <c r="G340" t="s">
        <v>1385</v>
      </c>
      <c r="H340" t="s">
        <v>1391</v>
      </c>
      <c r="I340" t="s">
        <v>1392</v>
      </c>
      <c r="J340" t="s">
        <v>1401</v>
      </c>
      <c r="K340" t="s">
        <v>1436</v>
      </c>
      <c r="L340">
        <v>1105.82</v>
      </c>
      <c r="M340">
        <v>8</v>
      </c>
      <c r="O340">
        <v>-217.5</v>
      </c>
    </row>
    <row r="341" spans="1:15" x14ac:dyDescent="0.3">
      <c r="A341" t="s">
        <v>354</v>
      </c>
      <c r="B341" t="s">
        <v>836</v>
      </c>
      <c r="C341" t="s">
        <v>1047</v>
      </c>
      <c r="D341" t="s">
        <v>1365</v>
      </c>
      <c r="E341" t="s">
        <v>1375</v>
      </c>
      <c r="F341" t="s">
        <v>1379</v>
      </c>
      <c r="G341" t="s">
        <v>1385</v>
      </c>
      <c r="H341" t="s">
        <v>1390</v>
      </c>
      <c r="I341" t="s">
        <v>1394</v>
      </c>
      <c r="J341" t="s">
        <v>1403</v>
      </c>
      <c r="K341" t="s">
        <v>1635</v>
      </c>
      <c r="L341">
        <v>282.07</v>
      </c>
      <c r="M341">
        <v>10</v>
      </c>
      <c r="N341">
        <v>0.1</v>
      </c>
      <c r="O341">
        <v>-48.78</v>
      </c>
    </row>
    <row r="342" spans="1:15" x14ac:dyDescent="0.3">
      <c r="A342" t="s">
        <v>355</v>
      </c>
      <c r="B342" t="s">
        <v>837</v>
      </c>
      <c r="C342" t="s">
        <v>989</v>
      </c>
      <c r="D342" t="s">
        <v>1372</v>
      </c>
      <c r="E342" t="s">
        <v>1374</v>
      </c>
      <c r="F342" t="s">
        <v>1379</v>
      </c>
      <c r="G342" t="s">
        <v>1387</v>
      </c>
      <c r="H342" t="s">
        <v>1391</v>
      </c>
      <c r="I342" t="s">
        <v>1394</v>
      </c>
      <c r="J342" t="s">
        <v>1403</v>
      </c>
      <c r="K342" t="s">
        <v>1636</v>
      </c>
      <c r="L342">
        <v>833.27</v>
      </c>
      <c r="M342">
        <v>1</v>
      </c>
      <c r="N342">
        <v>0.1</v>
      </c>
      <c r="O342">
        <v>-8.57</v>
      </c>
    </row>
    <row r="343" spans="1:15" x14ac:dyDescent="0.3">
      <c r="A343" t="s">
        <v>356</v>
      </c>
      <c r="B343" t="s">
        <v>838</v>
      </c>
      <c r="C343" t="s">
        <v>1254</v>
      </c>
      <c r="D343" t="s">
        <v>1372</v>
      </c>
      <c r="E343" t="s">
        <v>1376</v>
      </c>
      <c r="F343" t="s">
        <v>1379</v>
      </c>
      <c r="G343" t="s">
        <v>1385</v>
      </c>
      <c r="H343" t="s">
        <v>1390</v>
      </c>
      <c r="I343" t="s">
        <v>1393</v>
      </c>
      <c r="J343" t="s">
        <v>1399</v>
      </c>
      <c r="K343" t="s">
        <v>1637</v>
      </c>
      <c r="L343">
        <v>451.79</v>
      </c>
      <c r="M343">
        <v>8</v>
      </c>
      <c r="N343">
        <v>0.2</v>
      </c>
      <c r="O343">
        <v>-42.8</v>
      </c>
    </row>
    <row r="344" spans="1:15" x14ac:dyDescent="0.3">
      <c r="A344" t="s">
        <v>357</v>
      </c>
      <c r="B344" t="s">
        <v>839</v>
      </c>
      <c r="C344" t="s">
        <v>1005</v>
      </c>
      <c r="D344" t="s">
        <v>1363</v>
      </c>
      <c r="E344" t="s">
        <v>1374</v>
      </c>
      <c r="F344" t="s">
        <v>1378</v>
      </c>
      <c r="G344" t="s">
        <v>1385</v>
      </c>
      <c r="H344" t="s">
        <v>1388</v>
      </c>
      <c r="I344" t="s">
        <v>1393</v>
      </c>
      <c r="J344" t="s">
        <v>1400</v>
      </c>
      <c r="K344" t="s">
        <v>1638</v>
      </c>
      <c r="L344">
        <v>980.74</v>
      </c>
      <c r="M344">
        <v>5</v>
      </c>
      <c r="N344">
        <v>0.1</v>
      </c>
      <c r="O344">
        <v>76.17</v>
      </c>
    </row>
    <row r="345" spans="1:15" x14ac:dyDescent="0.3">
      <c r="A345" t="s">
        <v>358</v>
      </c>
      <c r="B345" t="s">
        <v>840</v>
      </c>
      <c r="C345" t="s">
        <v>1255</v>
      </c>
      <c r="D345" t="s">
        <v>1359</v>
      </c>
      <c r="E345" t="s">
        <v>1376</v>
      </c>
      <c r="F345" t="s">
        <v>1380</v>
      </c>
      <c r="G345" t="s">
        <v>1382</v>
      </c>
      <c r="H345" t="s">
        <v>1390</v>
      </c>
      <c r="I345" t="s">
        <v>1392</v>
      </c>
      <c r="J345" t="s">
        <v>1395</v>
      </c>
      <c r="K345" t="s">
        <v>1566</v>
      </c>
      <c r="L345">
        <v>630.07000000000005</v>
      </c>
      <c r="M345">
        <v>6</v>
      </c>
      <c r="N345">
        <v>0.2</v>
      </c>
      <c r="O345">
        <v>-31.49</v>
      </c>
    </row>
    <row r="346" spans="1:15" x14ac:dyDescent="0.3">
      <c r="A346" t="s">
        <v>359</v>
      </c>
      <c r="B346" t="s">
        <v>841</v>
      </c>
      <c r="C346" t="s">
        <v>1048</v>
      </c>
      <c r="D346" t="s">
        <v>1360</v>
      </c>
      <c r="E346" t="s">
        <v>1376</v>
      </c>
      <c r="F346" t="s">
        <v>1380</v>
      </c>
      <c r="G346" t="s">
        <v>1385</v>
      </c>
      <c r="H346" t="s">
        <v>1388</v>
      </c>
      <c r="I346" t="s">
        <v>1394</v>
      </c>
      <c r="J346" t="s">
        <v>1398</v>
      </c>
      <c r="K346" t="s">
        <v>1464</v>
      </c>
      <c r="L346">
        <v>133.63999999999999</v>
      </c>
      <c r="M346">
        <v>6</v>
      </c>
      <c r="N346">
        <v>0.15</v>
      </c>
      <c r="O346">
        <v>-2.61</v>
      </c>
    </row>
    <row r="347" spans="1:15" x14ac:dyDescent="0.3">
      <c r="A347" t="s">
        <v>360</v>
      </c>
      <c r="B347" t="s">
        <v>842</v>
      </c>
      <c r="C347" t="s">
        <v>1256</v>
      </c>
      <c r="D347" t="s">
        <v>1372</v>
      </c>
      <c r="E347" t="s">
        <v>1374</v>
      </c>
      <c r="F347" t="s">
        <v>1377</v>
      </c>
      <c r="G347" t="s">
        <v>1386</v>
      </c>
      <c r="H347" t="s">
        <v>1389</v>
      </c>
      <c r="I347" t="s">
        <v>1392</v>
      </c>
      <c r="J347" t="s">
        <v>1395</v>
      </c>
      <c r="K347" t="s">
        <v>1404</v>
      </c>
      <c r="L347">
        <v>699.56</v>
      </c>
      <c r="M347">
        <v>9</v>
      </c>
      <c r="N347">
        <v>0.1</v>
      </c>
      <c r="O347">
        <v>202.65</v>
      </c>
    </row>
    <row r="348" spans="1:15" x14ac:dyDescent="0.3">
      <c r="A348" t="s">
        <v>361</v>
      </c>
      <c r="B348" t="s">
        <v>843</v>
      </c>
      <c r="C348" t="s">
        <v>1257</v>
      </c>
      <c r="D348" t="s">
        <v>1365</v>
      </c>
      <c r="E348" t="s">
        <v>1374</v>
      </c>
      <c r="F348" t="s">
        <v>1377</v>
      </c>
      <c r="G348" t="s">
        <v>1386</v>
      </c>
      <c r="H348" t="s">
        <v>1388</v>
      </c>
      <c r="I348" t="s">
        <v>1394</v>
      </c>
      <c r="J348" t="s">
        <v>1403</v>
      </c>
      <c r="K348" t="s">
        <v>1441</v>
      </c>
      <c r="L348">
        <v>765.42</v>
      </c>
      <c r="M348">
        <v>3</v>
      </c>
      <c r="N348">
        <v>0.1</v>
      </c>
      <c r="O348">
        <v>92.07</v>
      </c>
    </row>
    <row r="349" spans="1:15" x14ac:dyDescent="0.3">
      <c r="A349" t="s">
        <v>362</v>
      </c>
      <c r="B349" t="s">
        <v>844</v>
      </c>
      <c r="C349" t="s">
        <v>1092</v>
      </c>
      <c r="D349" t="s">
        <v>1372</v>
      </c>
      <c r="E349" t="s">
        <v>1376</v>
      </c>
      <c r="F349" t="s">
        <v>1377</v>
      </c>
      <c r="G349" t="s">
        <v>1385</v>
      </c>
      <c r="H349" t="s">
        <v>1390</v>
      </c>
      <c r="I349" t="s">
        <v>1392</v>
      </c>
      <c r="J349" t="s">
        <v>1397</v>
      </c>
      <c r="K349" t="s">
        <v>1639</v>
      </c>
      <c r="L349">
        <v>393.92</v>
      </c>
      <c r="M349">
        <v>5</v>
      </c>
      <c r="N349">
        <v>0.15</v>
      </c>
      <c r="O349">
        <v>40.450000000000003</v>
      </c>
    </row>
    <row r="350" spans="1:15" x14ac:dyDescent="0.3">
      <c r="A350" t="s">
        <v>363</v>
      </c>
      <c r="B350" t="s">
        <v>845</v>
      </c>
      <c r="C350" t="s">
        <v>1213</v>
      </c>
      <c r="D350" t="s">
        <v>1369</v>
      </c>
      <c r="E350" t="s">
        <v>1375</v>
      </c>
      <c r="F350" t="s">
        <v>1377</v>
      </c>
      <c r="G350" t="s">
        <v>1383</v>
      </c>
      <c r="H350" t="s">
        <v>1388</v>
      </c>
      <c r="I350" t="s">
        <v>1392</v>
      </c>
      <c r="J350" t="s">
        <v>1395</v>
      </c>
      <c r="K350" t="s">
        <v>1640</v>
      </c>
      <c r="L350">
        <v>296.86</v>
      </c>
      <c r="M350">
        <v>5</v>
      </c>
      <c r="N350">
        <v>0</v>
      </c>
      <c r="O350">
        <v>-28.12</v>
      </c>
    </row>
    <row r="351" spans="1:15" x14ac:dyDescent="0.3">
      <c r="A351" t="s">
        <v>364</v>
      </c>
      <c r="B351" t="s">
        <v>846</v>
      </c>
      <c r="C351" t="s">
        <v>1258</v>
      </c>
      <c r="D351" t="s">
        <v>1371</v>
      </c>
      <c r="E351" t="s">
        <v>1375</v>
      </c>
      <c r="F351" t="s">
        <v>1379</v>
      </c>
      <c r="G351" t="s">
        <v>1385</v>
      </c>
      <c r="H351" t="s">
        <v>1390</v>
      </c>
      <c r="I351" t="s">
        <v>1393</v>
      </c>
      <c r="J351" t="s">
        <v>1400</v>
      </c>
      <c r="K351" t="s">
        <v>1641</v>
      </c>
      <c r="L351">
        <v>142.63999999999999</v>
      </c>
      <c r="M351">
        <v>10</v>
      </c>
      <c r="N351">
        <v>0.1</v>
      </c>
      <c r="O351">
        <v>-22.51</v>
      </c>
    </row>
    <row r="352" spans="1:15" x14ac:dyDescent="0.3">
      <c r="A352" t="s">
        <v>365</v>
      </c>
      <c r="B352" t="s">
        <v>847</v>
      </c>
      <c r="C352" t="s">
        <v>1259</v>
      </c>
      <c r="D352" t="s">
        <v>1362</v>
      </c>
      <c r="E352" t="s">
        <v>1376</v>
      </c>
      <c r="F352" t="s">
        <v>1378</v>
      </c>
      <c r="G352" t="s">
        <v>1382</v>
      </c>
      <c r="H352" t="s">
        <v>1390</v>
      </c>
      <c r="I352" t="s">
        <v>1392</v>
      </c>
      <c r="J352" t="s">
        <v>1401</v>
      </c>
      <c r="K352" t="s">
        <v>1575</v>
      </c>
      <c r="L352">
        <v>802.99</v>
      </c>
      <c r="M352">
        <v>6</v>
      </c>
      <c r="N352">
        <v>0.2</v>
      </c>
      <c r="O352">
        <v>26.98</v>
      </c>
    </row>
    <row r="353" spans="1:15" x14ac:dyDescent="0.3">
      <c r="A353" t="s">
        <v>366</v>
      </c>
      <c r="B353" t="s">
        <v>848</v>
      </c>
      <c r="C353" t="s">
        <v>1055</v>
      </c>
      <c r="D353" t="s">
        <v>1360</v>
      </c>
      <c r="E353" t="s">
        <v>1376</v>
      </c>
      <c r="F353" t="s">
        <v>1377</v>
      </c>
      <c r="G353" t="s">
        <v>1383</v>
      </c>
      <c r="H353" t="s">
        <v>1390</v>
      </c>
      <c r="I353" t="s">
        <v>1393</v>
      </c>
      <c r="J353" t="s">
        <v>1396</v>
      </c>
      <c r="K353" t="s">
        <v>1511</v>
      </c>
      <c r="L353">
        <v>770.3</v>
      </c>
      <c r="M353">
        <v>10</v>
      </c>
      <c r="N353">
        <v>0.2</v>
      </c>
      <c r="O353">
        <v>47.55</v>
      </c>
    </row>
    <row r="354" spans="1:15" x14ac:dyDescent="0.3">
      <c r="A354" t="s">
        <v>367</v>
      </c>
      <c r="B354" t="s">
        <v>849</v>
      </c>
      <c r="C354" t="s">
        <v>1066</v>
      </c>
      <c r="D354" t="s">
        <v>1372</v>
      </c>
      <c r="E354" t="s">
        <v>1376</v>
      </c>
      <c r="F354" t="s">
        <v>1380</v>
      </c>
      <c r="G354" t="s">
        <v>1382</v>
      </c>
      <c r="H354" t="s">
        <v>1389</v>
      </c>
      <c r="I354" t="s">
        <v>1394</v>
      </c>
      <c r="J354" t="s">
        <v>1403</v>
      </c>
      <c r="K354" t="s">
        <v>1642</v>
      </c>
      <c r="L354">
        <v>326.57</v>
      </c>
      <c r="M354">
        <v>5</v>
      </c>
      <c r="N354">
        <v>0</v>
      </c>
      <c r="O354">
        <v>-65.3</v>
      </c>
    </row>
    <row r="355" spans="1:15" x14ac:dyDescent="0.3">
      <c r="A355" t="s">
        <v>368</v>
      </c>
      <c r="B355" t="s">
        <v>850</v>
      </c>
      <c r="C355" t="s">
        <v>1260</v>
      </c>
      <c r="D355" t="s">
        <v>1371</v>
      </c>
      <c r="E355" t="s">
        <v>1376</v>
      </c>
      <c r="F355" t="s">
        <v>1377</v>
      </c>
      <c r="G355" t="s">
        <v>1385</v>
      </c>
      <c r="H355" t="s">
        <v>1390</v>
      </c>
      <c r="I355" t="s">
        <v>1392</v>
      </c>
      <c r="J355" t="s">
        <v>1397</v>
      </c>
      <c r="K355" t="s">
        <v>1643</v>
      </c>
      <c r="L355">
        <v>961.6</v>
      </c>
      <c r="M355">
        <v>10</v>
      </c>
      <c r="N355">
        <v>0.1</v>
      </c>
      <c r="O355">
        <v>190.77</v>
      </c>
    </row>
    <row r="356" spans="1:15" x14ac:dyDescent="0.3">
      <c r="A356" t="s">
        <v>369</v>
      </c>
      <c r="B356" t="s">
        <v>851</v>
      </c>
      <c r="C356" t="s">
        <v>1261</v>
      </c>
      <c r="D356" t="s">
        <v>1372</v>
      </c>
      <c r="E356" t="s">
        <v>1374</v>
      </c>
      <c r="F356" t="s">
        <v>1379</v>
      </c>
      <c r="G356" t="s">
        <v>1385</v>
      </c>
      <c r="H356" t="s">
        <v>1390</v>
      </c>
      <c r="I356" t="s">
        <v>1394</v>
      </c>
      <c r="J356" t="s">
        <v>1402</v>
      </c>
      <c r="K356" t="s">
        <v>1644</v>
      </c>
      <c r="L356">
        <v>330.32</v>
      </c>
      <c r="M356">
        <v>7</v>
      </c>
      <c r="N356">
        <v>0.1</v>
      </c>
      <c r="O356">
        <v>19.260000000000002</v>
      </c>
    </row>
    <row r="357" spans="1:15" x14ac:dyDescent="0.3">
      <c r="A357" t="s">
        <v>370</v>
      </c>
      <c r="B357" t="s">
        <v>852</v>
      </c>
      <c r="C357" t="s">
        <v>1262</v>
      </c>
      <c r="D357" t="s">
        <v>1367</v>
      </c>
      <c r="E357" t="s">
        <v>1376</v>
      </c>
      <c r="F357" t="s">
        <v>1380</v>
      </c>
      <c r="G357" t="s">
        <v>1387</v>
      </c>
      <c r="H357" t="s">
        <v>1388</v>
      </c>
      <c r="I357" t="s">
        <v>1394</v>
      </c>
      <c r="J357" t="s">
        <v>1402</v>
      </c>
      <c r="K357" t="s">
        <v>1645</v>
      </c>
      <c r="L357">
        <v>771.53</v>
      </c>
      <c r="M357">
        <v>10</v>
      </c>
      <c r="N357">
        <v>0.2</v>
      </c>
      <c r="O357">
        <v>-49.33</v>
      </c>
    </row>
    <row r="358" spans="1:15" x14ac:dyDescent="0.3">
      <c r="A358" t="s">
        <v>371</v>
      </c>
      <c r="B358" t="s">
        <v>853</v>
      </c>
      <c r="C358" t="s">
        <v>1263</v>
      </c>
      <c r="D358" t="s">
        <v>1366</v>
      </c>
      <c r="E358" t="s">
        <v>1375</v>
      </c>
      <c r="F358" t="s">
        <v>1379</v>
      </c>
      <c r="G358" t="s">
        <v>1385</v>
      </c>
      <c r="H358" t="s">
        <v>1391</v>
      </c>
      <c r="I358" t="s">
        <v>1392</v>
      </c>
      <c r="J358" t="s">
        <v>1397</v>
      </c>
      <c r="K358" t="s">
        <v>1646</v>
      </c>
      <c r="L358">
        <v>337.65</v>
      </c>
      <c r="M358">
        <v>8</v>
      </c>
      <c r="N358">
        <v>0</v>
      </c>
      <c r="O358">
        <v>-28.23</v>
      </c>
    </row>
    <row r="359" spans="1:15" x14ac:dyDescent="0.3">
      <c r="A359" t="s">
        <v>372</v>
      </c>
      <c r="B359" t="s">
        <v>854</v>
      </c>
      <c r="C359" t="s">
        <v>1099</v>
      </c>
      <c r="D359" t="s">
        <v>1361</v>
      </c>
      <c r="E359" t="s">
        <v>1376</v>
      </c>
      <c r="F359" t="s">
        <v>1378</v>
      </c>
      <c r="G359" t="s">
        <v>1387</v>
      </c>
      <c r="H359" t="s">
        <v>1391</v>
      </c>
      <c r="I359" t="s">
        <v>1393</v>
      </c>
      <c r="J359" t="s">
        <v>1400</v>
      </c>
      <c r="K359" t="s">
        <v>1647</v>
      </c>
      <c r="L359">
        <v>409.69</v>
      </c>
      <c r="M359">
        <v>3</v>
      </c>
      <c r="N359">
        <v>0</v>
      </c>
      <c r="O359">
        <v>-27.35</v>
      </c>
    </row>
    <row r="360" spans="1:15" x14ac:dyDescent="0.3">
      <c r="A360" t="s">
        <v>373</v>
      </c>
      <c r="B360" t="s">
        <v>855</v>
      </c>
      <c r="C360" t="s">
        <v>1264</v>
      </c>
      <c r="D360" t="s">
        <v>1368</v>
      </c>
      <c r="E360" t="s">
        <v>1374</v>
      </c>
      <c r="F360" t="s">
        <v>1380</v>
      </c>
      <c r="G360" t="s">
        <v>1383</v>
      </c>
      <c r="H360" t="s">
        <v>1390</v>
      </c>
      <c r="I360" t="s">
        <v>1392</v>
      </c>
      <c r="J360" t="s">
        <v>1395</v>
      </c>
      <c r="K360" t="s">
        <v>1626</v>
      </c>
      <c r="L360">
        <v>313.77999999999997</v>
      </c>
      <c r="M360">
        <v>8</v>
      </c>
      <c r="N360">
        <v>0.1</v>
      </c>
      <c r="O360">
        <v>52.97</v>
      </c>
    </row>
    <row r="361" spans="1:15" x14ac:dyDescent="0.3">
      <c r="A361" t="s">
        <v>374</v>
      </c>
      <c r="B361" t="s">
        <v>856</v>
      </c>
      <c r="C361" t="s">
        <v>1069</v>
      </c>
      <c r="D361" t="s">
        <v>1365</v>
      </c>
      <c r="E361" t="s">
        <v>1376</v>
      </c>
      <c r="F361" t="s">
        <v>1378</v>
      </c>
      <c r="G361" t="s">
        <v>1384</v>
      </c>
      <c r="H361" t="s">
        <v>1388</v>
      </c>
      <c r="I361" t="s">
        <v>1394</v>
      </c>
      <c r="J361" t="s">
        <v>1402</v>
      </c>
      <c r="K361" t="s">
        <v>1425</v>
      </c>
      <c r="L361">
        <v>762.41</v>
      </c>
      <c r="M361">
        <v>1</v>
      </c>
      <c r="O361">
        <v>46.1</v>
      </c>
    </row>
    <row r="362" spans="1:15" x14ac:dyDescent="0.3">
      <c r="A362" t="s">
        <v>375</v>
      </c>
      <c r="B362" t="s">
        <v>857</v>
      </c>
      <c r="C362" t="s">
        <v>1048</v>
      </c>
      <c r="D362" t="s">
        <v>1366</v>
      </c>
      <c r="E362" t="s">
        <v>1375</v>
      </c>
      <c r="F362" t="s">
        <v>1380</v>
      </c>
      <c r="G362" t="s">
        <v>1381</v>
      </c>
      <c r="H362" t="s">
        <v>1389</v>
      </c>
      <c r="I362" t="s">
        <v>1392</v>
      </c>
      <c r="J362" t="s">
        <v>1395</v>
      </c>
      <c r="K362" t="s">
        <v>1648</v>
      </c>
      <c r="L362">
        <v>532.30999999999995</v>
      </c>
      <c r="M362">
        <v>1</v>
      </c>
      <c r="N362">
        <v>0.1</v>
      </c>
      <c r="O362">
        <v>104.97</v>
      </c>
    </row>
    <row r="363" spans="1:15" x14ac:dyDescent="0.3">
      <c r="A363" t="s">
        <v>376</v>
      </c>
      <c r="B363" t="s">
        <v>858</v>
      </c>
      <c r="C363" t="s">
        <v>1265</v>
      </c>
      <c r="D363" t="s">
        <v>1369</v>
      </c>
      <c r="E363" t="s">
        <v>1376</v>
      </c>
      <c r="F363" t="s">
        <v>1378</v>
      </c>
      <c r="G363" t="s">
        <v>1382</v>
      </c>
      <c r="H363" t="s">
        <v>1388</v>
      </c>
      <c r="I363" t="s">
        <v>1394</v>
      </c>
      <c r="J363" t="s">
        <v>1402</v>
      </c>
      <c r="K363" t="s">
        <v>1477</v>
      </c>
      <c r="L363">
        <v>313.49</v>
      </c>
      <c r="M363">
        <v>8</v>
      </c>
      <c r="N363">
        <v>0</v>
      </c>
      <c r="O363">
        <v>44.82</v>
      </c>
    </row>
    <row r="364" spans="1:15" x14ac:dyDescent="0.3">
      <c r="A364" t="s">
        <v>377</v>
      </c>
      <c r="B364" t="s">
        <v>859</v>
      </c>
      <c r="C364" t="s">
        <v>1266</v>
      </c>
      <c r="D364" t="s">
        <v>1373</v>
      </c>
      <c r="E364" t="s">
        <v>1374</v>
      </c>
      <c r="F364" t="s">
        <v>1378</v>
      </c>
      <c r="G364" t="s">
        <v>1384</v>
      </c>
      <c r="H364" t="s">
        <v>1388</v>
      </c>
      <c r="I364" t="s">
        <v>1394</v>
      </c>
      <c r="J364" t="s">
        <v>1398</v>
      </c>
      <c r="K364" t="s">
        <v>1440</v>
      </c>
      <c r="L364">
        <v>950.5</v>
      </c>
      <c r="M364">
        <v>6</v>
      </c>
      <c r="N364">
        <v>0.2</v>
      </c>
      <c r="O364">
        <v>158.35</v>
      </c>
    </row>
    <row r="365" spans="1:15" x14ac:dyDescent="0.3">
      <c r="A365" t="s">
        <v>378</v>
      </c>
      <c r="B365" t="s">
        <v>860</v>
      </c>
      <c r="C365" t="s">
        <v>1267</v>
      </c>
      <c r="D365" t="s">
        <v>1372</v>
      </c>
      <c r="E365" t="s">
        <v>1374</v>
      </c>
      <c r="F365" t="s">
        <v>1377</v>
      </c>
      <c r="G365" t="s">
        <v>1384</v>
      </c>
      <c r="H365" t="s">
        <v>1390</v>
      </c>
      <c r="I365" t="s">
        <v>1393</v>
      </c>
      <c r="J365" t="s">
        <v>1399</v>
      </c>
      <c r="K365" t="s">
        <v>1649</v>
      </c>
      <c r="L365">
        <v>660.43</v>
      </c>
      <c r="M365">
        <v>8</v>
      </c>
      <c r="N365">
        <v>0.1</v>
      </c>
      <c r="O365">
        <v>55.05</v>
      </c>
    </row>
    <row r="366" spans="1:15" x14ac:dyDescent="0.3">
      <c r="A366" t="s">
        <v>379</v>
      </c>
      <c r="B366" t="s">
        <v>861</v>
      </c>
      <c r="C366" t="s">
        <v>1033</v>
      </c>
      <c r="D366" t="s">
        <v>1360</v>
      </c>
      <c r="E366" t="s">
        <v>1374</v>
      </c>
      <c r="F366" t="s">
        <v>1378</v>
      </c>
      <c r="G366" t="s">
        <v>1381</v>
      </c>
      <c r="H366" t="s">
        <v>1391</v>
      </c>
      <c r="I366" t="s">
        <v>1394</v>
      </c>
      <c r="J366" t="s">
        <v>1403</v>
      </c>
      <c r="K366" t="s">
        <v>1593</v>
      </c>
      <c r="L366">
        <v>986.91</v>
      </c>
      <c r="M366">
        <v>9</v>
      </c>
      <c r="N366">
        <v>0.15</v>
      </c>
      <c r="O366">
        <v>26.69</v>
      </c>
    </row>
    <row r="367" spans="1:15" x14ac:dyDescent="0.3">
      <c r="A367" t="s">
        <v>380</v>
      </c>
      <c r="B367" t="s">
        <v>862</v>
      </c>
      <c r="C367" t="s">
        <v>1268</v>
      </c>
      <c r="D367" t="s">
        <v>1365</v>
      </c>
      <c r="E367" t="s">
        <v>1375</v>
      </c>
      <c r="F367" t="s">
        <v>1379</v>
      </c>
      <c r="G367" t="s">
        <v>1384</v>
      </c>
      <c r="H367" t="s">
        <v>1389</v>
      </c>
      <c r="I367" t="s">
        <v>1394</v>
      </c>
      <c r="J367" t="s">
        <v>1398</v>
      </c>
      <c r="K367" t="s">
        <v>1456</v>
      </c>
      <c r="L367">
        <v>94.74</v>
      </c>
      <c r="M367">
        <v>9</v>
      </c>
      <c r="N367">
        <v>0.2</v>
      </c>
      <c r="O367">
        <v>-9.9499999999999993</v>
      </c>
    </row>
    <row r="368" spans="1:15" x14ac:dyDescent="0.3">
      <c r="A368" t="s">
        <v>381</v>
      </c>
      <c r="B368" t="s">
        <v>863</v>
      </c>
      <c r="C368" t="s">
        <v>1269</v>
      </c>
      <c r="D368" t="s">
        <v>1363</v>
      </c>
      <c r="E368" t="s">
        <v>1376</v>
      </c>
      <c r="F368" t="s">
        <v>1378</v>
      </c>
      <c r="G368" t="s">
        <v>1381</v>
      </c>
      <c r="H368" t="s">
        <v>1388</v>
      </c>
      <c r="I368" t="s">
        <v>1392</v>
      </c>
      <c r="J368" t="s">
        <v>1395</v>
      </c>
      <c r="K368" t="s">
        <v>1650</v>
      </c>
      <c r="L368">
        <v>797.49</v>
      </c>
      <c r="M368">
        <v>1</v>
      </c>
      <c r="N368">
        <v>0.1</v>
      </c>
      <c r="O368">
        <v>-88.27</v>
      </c>
    </row>
    <row r="369" spans="1:15" x14ac:dyDescent="0.3">
      <c r="A369" t="s">
        <v>382</v>
      </c>
      <c r="B369" t="s">
        <v>864</v>
      </c>
      <c r="C369" t="s">
        <v>1270</v>
      </c>
      <c r="D369" t="s">
        <v>1364</v>
      </c>
      <c r="E369" t="s">
        <v>1375</v>
      </c>
      <c r="F369" t="s">
        <v>1380</v>
      </c>
      <c r="G369" t="s">
        <v>1387</v>
      </c>
      <c r="H369" t="s">
        <v>1389</v>
      </c>
      <c r="I369" t="s">
        <v>1393</v>
      </c>
      <c r="J369" t="s">
        <v>1399</v>
      </c>
      <c r="K369" t="s">
        <v>1487</v>
      </c>
      <c r="L369">
        <v>640.47</v>
      </c>
      <c r="M369">
        <v>10</v>
      </c>
      <c r="N369">
        <v>0.15</v>
      </c>
      <c r="O369">
        <v>-112.38</v>
      </c>
    </row>
    <row r="370" spans="1:15" x14ac:dyDescent="0.3">
      <c r="A370" t="s">
        <v>383</v>
      </c>
      <c r="B370" t="s">
        <v>865</v>
      </c>
      <c r="C370" t="s">
        <v>1271</v>
      </c>
      <c r="D370" t="s">
        <v>1360</v>
      </c>
      <c r="E370" t="s">
        <v>1374</v>
      </c>
      <c r="F370" t="s">
        <v>1380</v>
      </c>
      <c r="G370" t="s">
        <v>1382</v>
      </c>
      <c r="H370" t="s">
        <v>1388</v>
      </c>
      <c r="I370" t="s">
        <v>1394</v>
      </c>
      <c r="J370" t="s">
        <v>1398</v>
      </c>
      <c r="K370" t="s">
        <v>1651</v>
      </c>
      <c r="L370">
        <v>897.3</v>
      </c>
      <c r="M370">
        <v>7</v>
      </c>
      <c r="N370">
        <v>0.15</v>
      </c>
      <c r="O370">
        <v>176.88</v>
      </c>
    </row>
    <row r="371" spans="1:15" x14ac:dyDescent="0.3">
      <c r="A371" t="s">
        <v>384</v>
      </c>
      <c r="B371" t="s">
        <v>611</v>
      </c>
      <c r="C371" t="s">
        <v>1272</v>
      </c>
      <c r="D371" t="s">
        <v>1364</v>
      </c>
      <c r="E371" t="s">
        <v>1375</v>
      </c>
      <c r="F371" t="s">
        <v>1378</v>
      </c>
      <c r="G371" t="s">
        <v>1383</v>
      </c>
      <c r="H371" t="s">
        <v>1389</v>
      </c>
      <c r="I371" t="s">
        <v>1393</v>
      </c>
      <c r="J371" t="s">
        <v>1400</v>
      </c>
      <c r="K371" t="s">
        <v>1652</v>
      </c>
      <c r="L371">
        <v>139.44999999999999</v>
      </c>
      <c r="M371">
        <v>4</v>
      </c>
      <c r="O371">
        <v>-1.02</v>
      </c>
    </row>
    <row r="372" spans="1:15" x14ac:dyDescent="0.3">
      <c r="A372" t="s">
        <v>385</v>
      </c>
      <c r="B372" t="s">
        <v>866</v>
      </c>
      <c r="C372" t="s">
        <v>1273</v>
      </c>
      <c r="D372" t="s">
        <v>1360</v>
      </c>
      <c r="E372" t="s">
        <v>1374</v>
      </c>
      <c r="F372" t="s">
        <v>1379</v>
      </c>
      <c r="G372" t="s">
        <v>1382</v>
      </c>
      <c r="H372" t="s">
        <v>1390</v>
      </c>
      <c r="I372" t="s">
        <v>1394</v>
      </c>
      <c r="J372" t="s">
        <v>1398</v>
      </c>
      <c r="K372" t="s">
        <v>1408</v>
      </c>
      <c r="L372">
        <v>561.29</v>
      </c>
      <c r="M372">
        <v>7</v>
      </c>
      <c r="N372">
        <v>0</v>
      </c>
      <c r="O372">
        <v>-65.44</v>
      </c>
    </row>
    <row r="373" spans="1:15" x14ac:dyDescent="0.3">
      <c r="A373" t="s">
        <v>386</v>
      </c>
      <c r="B373" t="s">
        <v>559</v>
      </c>
      <c r="C373" t="s">
        <v>1274</v>
      </c>
      <c r="D373" t="s">
        <v>1365</v>
      </c>
      <c r="E373" t="s">
        <v>1376</v>
      </c>
      <c r="F373" t="s">
        <v>1378</v>
      </c>
      <c r="G373" t="s">
        <v>1383</v>
      </c>
      <c r="H373" t="s">
        <v>1390</v>
      </c>
      <c r="I373" t="s">
        <v>1394</v>
      </c>
      <c r="J373" t="s">
        <v>1403</v>
      </c>
      <c r="K373" t="s">
        <v>1653</v>
      </c>
      <c r="L373">
        <v>669.1</v>
      </c>
      <c r="M373">
        <v>6</v>
      </c>
      <c r="N373">
        <v>0.15</v>
      </c>
      <c r="O373">
        <v>4.13</v>
      </c>
    </row>
    <row r="374" spans="1:15" x14ac:dyDescent="0.3">
      <c r="A374" t="s">
        <v>387</v>
      </c>
      <c r="B374" t="s">
        <v>867</v>
      </c>
      <c r="C374" t="s">
        <v>1167</v>
      </c>
      <c r="D374" t="s">
        <v>1366</v>
      </c>
      <c r="E374" t="s">
        <v>1374</v>
      </c>
      <c r="F374" t="s">
        <v>1380</v>
      </c>
      <c r="G374" t="s">
        <v>1383</v>
      </c>
      <c r="H374" t="s">
        <v>1390</v>
      </c>
      <c r="I374" t="s">
        <v>1393</v>
      </c>
      <c r="J374" t="s">
        <v>1399</v>
      </c>
      <c r="K374" t="s">
        <v>1654</v>
      </c>
      <c r="L374">
        <v>444.81</v>
      </c>
      <c r="M374">
        <v>8</v>
      </c>
      <c r="N374">
        <v>0.2</v>
      </c>
      <c r="O374">
        <v>124.51</v>
      </c>
    </row>
    <row r="375" spans="1:15" x14ac:dyDescent="0.3">
      <c r="A375" t="s">
        <v>388</v>
      </c>
      <c r="B375" t="s">
        <v>868</v>
      </c>
      <c r="C375" t="s">
        <v>994</v>
      </c>
      <c r="D375" t="s">
        <v>1364</v>
      </c>
      <c r="E375" t="s">
        <v>1374</v>
      </c>
      <c r="F375" t="s">
        <v>1378</v>
      </c>
      <c r="G375" t="s">
        <v>1381</v>
      </c>
      <c r="H375" t="s">
        <v>1388</v>
      </c>
      <c r="I375" t="s">
        <v>1392</v>
      </c>
      <c r="J375" t="s">
        <v>1401</v>
      </c>
      <c r="K375" t="s">
        <v>1484</v>
      </c>
      <c r="L375">
        <v>1029.75</v>
      </c>
      <c r="M375">
        <v>1</v>
      </c>
      <c r="N375">
        <v>0.15</v>
      </c>
      <c r="O375">
        <v>267.27999999999997</v>
      </c>
    </row>
    <row r="376" spans="1:15" x14ac:dyDescent="0.3">
      <c r="A376" t="s">
        <v>389</v>
      </c>
      <c r="B376" t="s">
        <v>869</v>
      </c>
      <c r="C376" t="s">
        <v>1253</v>
      </c>
      <c r="D376" t="s">
        <v>1361</v>
      </c>
      <c r="E376" t="s">
        <v>1376</v>
      </c>
      <c r="F376" t="s">
        <v>1378</v>
      </c>
      <c r="G376" t="s">
        <v>1382</v>
      </c>
      <c r="H376" t="s">
        <v>1388</v>
      </c>
      <c r="I376" t="s">
        <v>1392</v>
      </c>
      <c r="J376" t="s">
        <v>1397</v>
      </c>
      <c r="K376" t="s">
        <v>1632</v>
      </c>
      <c r="L376">
        <v>453.16</v>
      </c>
      <c r="M376">
        <v>10</v>
      </c>
      <c r="N376">
        <v>0.1</v>
      </c>
      <c r="O376">
        <v>-37.840000000000003</v>
      </c>
    </row>
    <row r="377" spans="1:15" x14ac:dyDescent="0.3">
      <c r="A377" t="s">
        <v>390</v>
      </c>
      <c r="B377" t="s">
        <v>870</v>
      </c>
      <c r="C377" t="s">
        <v>1229</v>
      </c>
      <c r="D377" t="s">
        <v>1361</v>
      </c>
      <c r="E377" t="s">
        <v>1374</v>
      </c>
      <c r="F377" t="s">
        <v>1377</v>
      </c>
      <c r="G377" t="s">
        <v>1381</v>
      </c>
      <c r="H377" t="s">
        <v>1388</v>
      </c>
      <c r="I377" t="s">
        <v>1392</v>
      </c>
      <c r="J377" t="s">
        <v>1397</v>
      </c>
      <c r="K377" t="s">
        <v>1504</v>
      </c>
      <c r="L377">
        <v>994.33</v>
      </c>
      <c r="M377">
        <v>10</v>
      </c>
      <c r="N377">
        <v>0</v>
      </c>
      <c r="O377">
        <v>97.06</v>
      </c>
    </row>
    <row r="378" spans="1:15" x14ac:dyDescent="0.3">
      <c r="A378" t="s">
        <v>391</v>
      </c>
      <c r="B378" t="s">
        <v>871</v>
      </c>
      <c r="C378" t="s">
        <v>1275</v>
      </c>
      <c r="D378" t="s">
        <v>1361</v>
      </c>
      <c r="E378" t="s">
        <v>1374</v>
      </c>
      <c r="F378" t="s">
        <v>1377</v>
      </c>
      <c r="G378" t="s">
        <v>1381</v>
      </c>
      <c r="H378" t="s">
        <v>1391</v>
      </c>
      <c r="I378" t="s">
        <v>1394</v>
      </c>
      <c r="J378" t="s">
        <v>1403</v>
      </c>
      <c r="K378" t="s">
        <v>1655</v>
      </c>
      <c r="L378">
        <v>1117.69</v>
      </c>
      <c r="M378">
        <v>2</v>
      </c>
      <c r="N378">
        <v>0.1</v>
      </c>
      <c r="O378">
        <v>194.3</v>
      </c>
    </row>
    <row r="379" spans="1:15" x14ac:dyDescent="0.3">
      <c r="A379" t="s">
        <v>392</v>
      </c>
      <c r="B379" t="s">
        <v>872</v>
      </c>
      <c r="C379" t="s">
        <v>1276</v>
      </c>
      <c r="D379" t="s">
        <v>1373</v>
      </c>
      <c r="E379" t="s">
        <v>1374</v>
      </c>
      <c r="F379" t="s">
        <v>1380</v>
      </c>
      <c r="G379" t="s">
        <v>1387</v>
      </c>
      <c r="H379" t="s">
        <v>1389</v>
      </c>
      <c r="I379" t="s">
        <v>1393</v>
      </c>
      <c r="J379" t="s">
        <v>1396</v>
      </c>
      <c r="K379" t="s">
        <v>1656</v>
      </c>
      <c r="L379">
        <v>196.5</v>
      </c>
      <c r="M379">
        <v>9</v>
      </c>
      <c r="N379">
        <v>0.1</v>
      </c>
      <c r="O379">
        <v>-24.25</v>
      </c>
    </row>
    <row r="380" spans="1:15" x14ac:dyDescent="0.3">
      <c r="A380" t="s">
        <v>393</v>
      </c>
      <c r="B380" t="s">
        <v>804</v>
      </c>
      <c r="C380" t="s">
        <v>1277</v>
      </c>
      <c r="D380" t="s">
        <v>1373</v>
      </c>
      <c r="E380" t="s">
        <v>1375</v>
      </c>
      <c r="F380" t="s">
        <v>1377</v>
      </c>
      <c r="G380" t="s">
        <v>1383</v>
      </c>
      <c r="H380" t="s">
        <v>1389</v>
      </c>
      <c r="I380" t="s">
        <v>1392</v>
      </c>
      <c r="J380" t="s">
        <v>1401</v>
      </c>
      <c r="K380" t="s">
        <v>1610</v>
      </c>
      <c r="L380">
        <v>416.68</v>
      </c>
      <c r="M380">
        <v>8</v>
      </c>
      <c r="O380">
        <v>71.94</v>
      </c>
    </row>
    <row r="381" spans="1:15" x14ac:dyDescent="0.3">
      <c r="A381" t="s">
        <v>394</v>
      </c>
      <c r="B381" t="s">
        <v>873</v>
      </c>
      <c r="C381" t="s">
        <v>1278</v>
      </c>
      <c r="D381" t="s">
        <v>1364</v>
      </c>
      <c r="E381" t="s">
        <v>1374</v>
      </c>
      <c r="F381" t="s">
        <v>1378</v>
      </c>
      <c r="G381" t="s">
        <v>1387</v>
      </c>
      <c r="H381" t="s">
        <v>1388</v>
      </c>
      <c r="I381" t="s">
        <v>1392</v>
      </c>
      <c r="J381" t="s">
        <v>1397</v>
      </c>
      <c r="K381" t="s">
        <v>1555</v>
      </c>
      <c r="L381">
        <v>679.97</v>
      </c>
      <c r="M381">
        <v>8</v>
      </c>
      <c r="N381">
        <v>0.2</v>
      </c>
      <c r="O381">
        <v>85.76</v>
      </c>
    </row>
    <row r="382" spans="1:15" x14ac:dyDescent="0.3">
      <c r="A382" t="s">
        <v>395</v>
      </c>
      <c r="B382" t="s">
        <v>874</v>
      </c>
      <c r="C382" t="s">
        <v>1150</v>
      </c>
      <c r="D382" t="s">
        <v>1372</v>
      </c>
      <c r="E382" t="s">
        <v>1375</v>
      </c>
      <c r="F382" t="s">
        <v>1379</v>
      </c>
      <c r="G382" t="s">
        <v>1384</v>
      </c>
      <c r="H382" t="s">
        <v>1388</v>
      </c>
      <c r="I382" t="s">
        <v>1394</v>
      </c>
      <c r="J382" t="s">
        <v>1398</v>
      </c>
      <c r="K382" t="s">
        <v>1657</v>
      </c>
      <c r="L382">
        <v>1110.48</v>
      </c>
      <c r="M382">
        <v>2</v>
      </c>
      <c r="N382">
        <v>0</v>
      </c>
      <c r="O382">
        <v>150.88999999999999</v>
      </c>
    </row>
    <row r="383" spans="1:15" x14ac:dyDescent="0.3">
      <c r="A383" t="s">
        <v>396</v>
      </c>
      <c r="B383" t="s">
        <v>875</v>
      </c>
      <c r="C383" t="s">
        <v>1279</v>
      </c>
      <c r="D383" t="s">
        <v>1363</v>
      </c>
      <c r="E383" t="s">
        <v>1374</v>
      </c>
      <c r="F383" t="s">
        <v>1379</v>
      </c>
      <c r="G383" t="s">
        <v>1387</v>
      </c>
      <c r="H383" t="s">
        <v>1388</v>
      </c>
      <c r="I383" t="s">
        <v>1394</v>
      </c>
      <c r="J383" t="s">
        <v>1398</v>
      </c>
      <c r="K383" t="s">
        <v>1658</v>
      </c>
      <c r="L383">
        <v>989.47</v>
      </c>
      <c r="M383">
        <v>8</v>
      </c>
      <c r="O383">
        <v>-125.75</v>
      </c>
    </row>
    <row r="384" spans="1:15" x14ac:dyDescent="0.3">
      <c r="A384" t="s">
        <v>397</v>
      </c>
      <c r="B384" t="s">
        <v>876</v>
      </c>
      <c r="C384" t="s">
        <v>1280</v>
      </c>
      <c r="D384" t="s">
        <v>1372</v>
      </c>
      <c r="E384" t="s">
        <v>1376</v>
      </c>
      <c r="F384" t="s">
        <v>1380</v>
      </c>
      <c r="G384" t="s">
        <v>1384</v>
      </c>
      <c r="H384" t="s">
        <v>1390</v>
      </c>
      <c r="I384" t="s">
        <v>1392</v>
      </c>
      <c r="J384" t="s">
        <v>1395</v>
      </c>
      <c r="K384" t="s">
        <v>1659</v>
      </c>
      <c r="L384">
        <v>1113.54</v>
      </c>
      <c r="M384">
        <v>5</v>
      </c>
      <c r="N384">
        <v>0</v>
      </c>
      <c r="O384">
        <v>-31.58</v>
      </c>
    </row>
    <row r="385" spans="1:15" x14ac:dyDescent="0.3">
      <c r="A385" t="s">
        <v>398</v>
      </c>
      <c r="B385" t="s">
        <v>877</v>
      </c>
      <c r="C385" t="s">
        <v>1281</v>
      </c>
      <c r="D385" t="s">
        <v>1370</v>
      </c>
      <c r="E385" t="s">
        <v>1374</v>
      </c>
      <c r="F385" t="s">
        <v>1380</v>
      </c>
      <c r="G385" t="s">
        <v>1385</v>
      </c>
      <c r="H385" t="s">
        <v>1388</v>
      </c>
      <c r="I385" t="s">
        <v>1392</v>
      </c>
      <c r="J385" t="s">
        <v>1395</v>
      </c>
      <c r="K385" t="s">
        <v>1660</v>
      </c>
      <c r="L385">
        <v>637.45000000000005</v>
      </c>
      <c r="M385">
        <v>5</v>
      </c>
      <c r="O385">
        <v>26.46</v>
      </c>
    </row>
    <row r="386" spans="1:15" x14ac:dyDescent="0.3">
      <c r="A386" t="s">
        <v>399</v>
      </c>
      <c r="B386" t="s">
        <v>748</v>
      </c>
      <c r="C386" t="s">
        <v>1242</v>
      </c>
      <c r="D386" t="s">
        <v>1369</v>
      </c>
      <c r="E386" t="s">
        <v>1376</v>
      </c>
      <c r="F386" t="s">
        <v>1379</v>
      </c>
      <c r="G386" t="s">
        <v>1382</v>
      </c>
      <c r="H386" t="s">
        <v>1391</v>
      </c>
      <c r="I386" t="s">
        <v>1394</v>
      </c>
      <c r="J386" t="s">
        <v>1402</v>
      </c>
      <c r="K386" t="s">
        <v>1513</v>
      </c>
      <c r="L386">
        <v>951.24</v>
      </c>
      <c r="M386">
        <v>10</v>
      </c>
      <c r="N386">
        <v>0.15</v>
      </c>
      <c r="O386">
        <v>-165</v>
      </c>
    </row>
    <row r="387" spans="1:15" x14ac:dyDescent="0.3">
      <c r="A387" t="s">
        <v>400</v>
      </c>
      <c r="B387" t="s">
        <v>878</v>
      </c>
      <c r="C387" t="s">
        <v>1077</v>
      </c>
      <c r="D387" t="s">
        <v>1372</v>
      </c>
      <c r="E387" t="s">
        <v>1374</v>
      </c>
      <c r="F387" t="s">
        <v>1380</v>
      </c>
      <c r="G387" t="s">
        <v>1387</v>
      </c>
      <c r="H387" t="s">
        <v>1390</v>
      </c>
      <c r="I387" t="s">
        <v>1393</v>
      </c>
      <c r="J387" t="s">
        <v>1399</v>
      </c>
      <c r="K387" t="s">
        <v>1661</v>
      </c>
      <c r="L387">
        <v>292.77999999999997</v>
      </c>
      <c r="M387">
        <v>7</v>
      </c>
      <c r="O387">
        <v>84.41</v>
      </c>
    </row>
    <row r="388" spans="1:15" x14ac:dyDescent="0.3">
      <c r="A388" t="s">
        <v>401</v>
      </c>
      <c r="B388" t="s">
        <v>879</v>
      </c>
      <c r="C388" t="s">
        <v>1282</v>
      </c>
      <c r="D388" t="s">
        <v>1363</v>
      </c>
      <c r="E388" t="s">
        <v>1376</v>
      </c>
      <c r="F388" t="s">
        <v>1379</v>
      </c>
      <c r="G388" t="s">
        <v>1384</v>
      </c>
      <c r="H388" t="s">
        <v>1391</v>
      </c>
      <c r="I388" t="s">
        <v>1393</v>
      </c>
      <c r="J388" t="s">
        <v>1400</v>
      </c>
      <c r="K388" t="s">
        <v>1662</v>
      </c>
      <c r="L388">
        <v>66.91</v>
      </c>
      <c r="M388">
        <v>9</v>
      </c>
      <c r="N388">
        <v>0.15</v>
      </c>
      <c r="O388">
        <v>-2.2200000000000002</v>
      </c>
    </row>
    <row r="389" spans="1:15" x14ac:dyDescent="0.3">
      <c r="A389" t="s">
        <v>402</v>
      </c>
      <c r="B389" t="s">
        <v>880</v>
      </c>
      <c r="C389" t="s">
        <v>1283</v>
      </c>
      <c r="D389" t="s">
        <v>1363</v>
      </c>
      <c r="E389" t="s">
        <v>1376</v>
      </c>
      <c r="F389" t="s">
        <v>1377</v>
      </c>
      <c r="G389" t="s">
        <v>1382</v>
      </c>
      <c r="H389" t="s">
        <v>1390</v>
      </c>
      <c r="I389" t="s">
        <v>1392</v>
      </c>
      <c r="J389" t="s">
        <v>1395</v>
      </c>
      <c r="K389" t="s">
        <v>1404</v>
      </c>
      <c r="L389">
        <v>324.06</v>
      </c>
      <c r="M389">
        <v>7</v>
      </c>
      <c r="N389">
        <v>0</v>
      </c>
      <c r="O389">
        <v>88.17</v>
      </c>
    </row>
    <row r="390" spans="1:15" x14ac:dyDescent="0.3">
      <c r="A390" t="s">
        <v>403</v>
      </c>
      <c r="B390" t="s">
        <v>881</v>
      </c>
      <c r="C390" t="s">
        <v>1284</v>
      </c>
      <c r="D390" t="s">
        <v>1373</v>
      </c>
      <c r="E390" t="s">
        <v>1374</v>
      </c>
      <c r="F390" t="s">
        <v>1379</v>
      </c>
      <c r="G390" t="s">
        <v>1385</v>
      </c>
      <c r="H390" t="s">
        <v>1390</v>
      </c>
      <c r="I390" t="s">
        <v>1393</v>
      </c>
      <c r="J390" t="s">
        <v>1396</v>
      </c>
      <c r="K390" t="s">
        <v>1663</v>
      </c>
      <c r="L390">
        <v>742.69</v>
      </c>
      <c r="M390">
        <v>4</v>
      </c>
      <c r="N390">
        <v>0.2</v>
      </c>
      <c r="O390">
        <v>-59.28</v>
      </c>
    </row>
    <row r="391" spans="1:15" x14ac:dyDescent="0.3">
      <c r="A391" t="s">
        <v>404</v>
      </c>
      <c r="B391" t="s">
        <v>882</v>
      </c>
      <c r="C391" t="s">
        <v>1285</v>
      </c>
      <c r="D391" t="s">
        <v>1359</v>
      </c>
      <c r="E391" t="s">
        <v>1376</v>
      </c>
      <c r="F391" t="s">
        <v>1378</v>
      </c>
      <c r="G391" t="s">
        <v>1382</v>
      </c>
      <c r="H391" t="s">
        <v>1390</v>
      </c>
      <c r="I391" t="s">
        <v>1393</v>
      </c>
      <c r="J391" t="s">
        <v>1396</v>
      </c>
      <c r="K391" t="s">
        <v>1664</v>
      </c>
      <c r="L391">
        <v>827.18</v>
      </c>
      <c r="M391">
        <v>4</v>
      </c>
      <c r="N391">
        <v>0.1</v>
      </c>
      <c r="O391">
        <v>-37.64</v>
      </c>
    </row>
    <row r="392" spans="1:15" x14ac:dyDescent="0.3">
      <c r="A392" t="s">
        <v>405</v>
      </c>
      <c r="B392" t="s">
        <v>883</v>
      </c>
      <c r="C392" t="s">
        <v>1286</v>
      </c>
      <c r="D392" t="s">
        <v>1373</v>
      </c>
      <c r="E392" t="s">
        <v>1376</v>
      </c>
      <c r="F392" t="s">
        <v>1377</v>
      </c>
      <c r="G392" t="s">
        <v>1382</v>
      </c>
      <c r="H392" t="s">
        <v>1391</v>
      </c>
      <c r="I392" t="s">
        <v>1393</v>
      </c>
      <c r="J392" t="s">
        <v>1396</v>
      </c>
      <c r="K392" t="s">
        <v>1665</v>
      </c>
      <c r="L392">
        <v>159.69999999999999</v>
      </c>
      <c r="M392">
        <v>6</v>
      </c>
      <c r="N392">
        <v>0.1</v>
      </c>
      <c r="O392">
        <v>26.12</v>
      </c>
    </row>
    <row r="393" spans="1:15" x14ac:dyDescent="0.3">
      <c r="A393" t="s">
        <v>406</v>
      </c>
      <c r="B393" t="s">
        <v>884</v>
      </c>
      <c r="C393" t="s">
        <v>1287</v>
      </c>
      <c r="D393" t="s">
        <v>1359</v>
      </c>
      <c r="E393" t="s">
        <v>1374</v>
      </c>
      <c r="F393" t="s">
        <v>1378</v>
      </c>
      <c r="G393" t="s">
        <v>1387</v>
      </c>
      <c r="H393" t="s">
        <v>1388</v>
      </c>
      <c r="I393" t="s">
        <v>1392</v>
      </c>
      <c r="J393" t="s">
        <v>1401</v>
      </c>
      <c r="K393" t="s">
        <v>1666</v>
      </c>
      <c r="L393">
        <v>238</v>
      </c>
      <c r="M393">
        <v>10</v>
      </c>
      <c r="O393">
        <v>-15.84</v>
      </c>
    </row>
    <row r="394" spans="1:15" x14ac:dyDescent="0.3">
      <c r="A394" t="s">
        <v>407</v>
      </c>
      <c r="B394" t="s">
        <v>827</v>
      </c>
      <c r="C394" t="s">
        <v>974</v>
      </c>
      <c r="D394" t="s">
        <v>1373</v>
      </c>
      <c r="E394" t="s">
        <v>1375</v>
      </c>
      <c r="F394" t="s">
        <v>1378</v>
      </c>
      <c r="G394" t="s">
        <v>1387</v>
      </c>
      <c r="H394" t="s">
        <v>1390</v>
      </c>
      <c r="I394" t="s">
        <v>1392</v>
      </c>
      <c r="J394" t="s">
        <v>1395</v>
      </c>
      <c r="K394" t="s">
        <v>1501</v>
      </c>
      <c r="L394">
        <v>1018.44</v>
      </c>
      <c r="M394">
        <v>8</v>
      </c>
      <c r="N394">
        <v>0.15</v>
      </c>
      <c r="O394">
        <v>-110</v>
      </c>
    </row>
    <row r="395" spans="1:15" x14ac:dyDescent="0.3">
      <c r="A395" t="s">
        <v>408</v>
      </c>
      <c r="B395" t="s">
        <v>669</v>
      </c>
      <c r="C395" t="s">
        <v>1141</v>
      </c>
      <c r="D395" t="s">
        <v>1360</v>
      </c>
      <c r="E395" t="s">
        <v>1374</v>
      </c>
      <c r="F395" t="s">
        <v>1379</v>
      </c>
      <c r="G395" t="s">
        <v>1386</v>
      </c>
      <c r="H395" t="s">
        <v>1389</v>
      </c>
      <c r="I395" t="s">
        <v>1394</v>
      </c>
      <c r="J395" t="s">
        <v>1403</v>
      </c>
      <c r="K395" t="s">
        <v>1636</v>
      </c>
      <c r="L395">
        <v>282.61</v>
      </c>
      <c r="M395">
        <v>4</v>
      </c>
      <c r="N395">
        <v>0.1</v>
      </c>
      <c r="O395">
        <v>-47.18</v>
      </c>
    </row>
    <row r="396" spans="1:15" x14ac:dyDescent="0.3">
      <c r="A396" t="s">
        <v>409</v>
      </c>
      <c r="B396" t="s">
        <v>885</v>
      </c>
      <c r="C396" t="s">
        <v>1288</v>
      </c>
      <c r="D396" t="s">
        <v>1364</v>
      </c>
      <c r="E396" t="s">
        <v>1374</v>
      </c>
      <c r="F396" t="s">
        <v>1380</v>
      </c>
      <c r="G396" t="s">
        <v>1383</v>
      </c>
      <c r="H396" t="s">
        <v>1388</v>
      </c>
      <c r="I396" t="s">
        <v>1392</v>
      </c>
      <c r="J396" t="s">
        <v>1395</v>
      </c>
      <c r="K396" t="s">
        <v>1616</v>
      </c>
      <c r="L396">
        <v>887.69</v>
      </c>
      <c r="M396">
        <v>7</v>
      </c>
      <c r="N396">
        <v>0.15</v>
      </c>
      <c r="O396">
        <v>-2.6</v>
      </c>
    </row>
    <row r="397" spans="1:15" x14ac:dyDescent="0.3">
      <c r="A397" t="s">
        <v>410</v>
      </c>
      <c r="B397" t="s">
        <v>784</v>
      </c>
      <c r="C397" t="s">
        <v>1289</v>
      </c>
      <c r="D397" t="s">
        <v>1369</v>
      </c>
      <c r="E397" t="s">
        <v>1376</v>
      </c>
      <c r="F397" t="s">
        <v>1377</v>
      </c>
      <c r="G397" t="s">
        <v>1385</v>
      </c>
      <c r="H397" t="s">
        <v>1391</v>
      </c>
      <c r="I397" t="s">
        <v>1392</v>
      </c>
      <c r="J397" t="s">
        <v>1395</v>
      </c>
      <c r="K397" t="s">
        <v>1478</v>
      </c>
      <c r="L397">
        <v>654.69000000000005</v>
      </c>
      <c r="M397">
        <v>1</v>
      </c>
      <c r="O397">
        <v>-4.13</v>
      </c>
    </row>
    <row r="398" spans="1:15" x14ac:dyDescent="0.3">
      <c r="A398" t="s">
        <v>411</v>
      </c>
      <c r="B398" t="s">
        <v>886</v>
      </c>
      <c r="C398" t="s">
        <v>1290</v>
      </c>
      <c r="D398" t="s">
        <v>1365</v>
      </c>
      <c r="E398" t="s">
        <v>1376</v>
      </c>
      <c r="F398" t="s">
        <v>1380</v>
      </c>
      <c r="G398" t="s">
        <v>1382</v>
      </c>
      <c r="H398" t="s">
        <v>1388</v>
      </c>
      <c r="I398" t="s">
        <v>1394</v>
      </c>
      <c r="J398" t="s">
        <v>1402</v>
      </c>
      <c r="K398" t="s">
        <v>1428</v>
      </c>
      <c r="L398">
        <v>518.51</v>
      </c>
      <c r="M398">
        <v>10</v>
      </c>
      <c r="N398">
        <v>0</v>
      </c>
      <c r="O398">
        <v>75.17</v>
      </c>
    </row>
    <row r="399" spans="1:15" x14ac:dyDescent="0.3">
      <c r="A399" t="s">
        <v>412</v>
      </c>
      <c r="B399" t="s">
        <v>887</v>
      </c>
      <c r="C399" t="s">
        <v>1291</v>
      </c>
      <c r="D399" t="s">
        <v>1365</v>
      </c>
      <c r="E399" t="s">
        <v>1374</v>
      </c>
      <c r="F399" t="s">
        <v>1378</v>
      </c>
      <c r="G399" t="s">
        <v>1385</v>
      </c>
      <c r="H399" t="s">
        <v>1388</v>
      </c>
      <c r="I399" t="s">
        <v>1393</v>
      </c>
      <c r="J399" t="s">
        <v>1396</v>
      </c>
      <c r="K399" t="s">
        <v>1537</v>
      </c>
      <c r="L399">
        <v>179.66</v>
      </c>
      <c r="M399">
        <v>7</v>
      </c>
      <c r="N399">
        <v>0.15</v>
      </c>
      <c r="O399">
        <v>4.57</v>
      </c>
    </row>
    <row r="400" spans="1:15" x14ac:dyDescent="0.3">
      <c r="A400" t="s">
        <v>413</v>
      </c>
      <c r="B400" t="s">
        <v>888</v>
      </c>
      <c r="C400" t="s">
        <v>1292</v>
      </c>
      <c r="D400" t="s">
        <v>1364</v>
      </c>
      <c r="E400" t="s">
        <v>1376</v>
      </c>
      <c r="F400" t="s">
        <v>1378</v>
      </c>
      <c r="G400" t="s">
        <v>1385</v>
      </c>
      <c r="H400" t="s">
        <v>1389</v>
      </c>
      <c r="I400" t="s">
        <v>1393</v>
      </c>
      <c r="J400" t="s">
        <v>1396</v>
      </c>
      <c r="K400" t="s">
        <v>1667</v>
      </c>
      <c r="L400">
        <v>165.78</v>
      </c>
      <c r="M400">
        <v>2</v>
      </c>
      <c r="N400">
        <v>0.2</v>
      </c>
      <c r="O400">
        <v>19.399999999999999</v>
      </c>
    </row>
    <row r="401" spans="1:15" x14ac:dyDescent="0.3">
      <c r="A401" t="s">
        <v>414</v>
      </c>
      <c r="B401" t="s">
        <v>889</v>
      </c>
      <c r="C401" t="s">
        <v>1128</v>
      </c>
      <c r="D401" t="s">
        <v>1366</v>
      </c>
      <c r="E401" t="s">
        <v>1376</v>
      </c>
      <c r="F401" t="s">
        <v>1379</v>
      </c>
      <c r="G401" t="s">
        <v>1382</v>
      </c>
      <c r="H401" t="s">
        <v>1389</v>
      </c>
      <c r="I401" t="s">
        <v>1394</v>
      </c>
      <c r="J401" t="s">
        <v>1398</v>
      </c>
      <c r="K401" t="s">
        <v>1492</v>
      </c>
      <c r="L401">
        <v>1048.1400000000001</v>
      </c>
      <c r="M401">
        <v>3</v>
      </c>
      <c r="N401">
        <v>0.1</v>
      </c>
      <c r="O401">
        <v>245.69</v>
      </c>
    </row>
    <row r="402" spans="1:15" x14ac:dyDescent="0.3">
      <c r="A402" t="s">
        <v>415</v>
      </c>
      <c r="B402" t="s">
        <v>594</v>
      </c>
      <c r="C402" t="s">
        <v>1293</v>
      </c>
      <c r="D402" t="s">
        <v>1373</v>
      </c>
      <c r="E402" t="s">
        <v>1376</v>
      </c>
      <c r="F402" t="s">
        <v>1380</v>
      </c>
      <c r="G402" t="s">
        <v>1383</v>
      </c>
      <c r="H402" t="s">
        <v>1389</v>
      </c>
      <c r="I402" t="s">
        <v>1392</v>
      </c>
      <c r="J402" t="s">
        <v>1401</v>
      </c>
      <c r="K402" t="s">
        <v>1417</v>
      </c>
      <c r="L402">
        <v>1153.31</v>
      </c>
      <c r="M402">
        <v>1</v>
      </c>
      <c r="O402">
        <v>210.71</v>
      </c>
    </row>
    <row r="403" spans="1:15" x14ac:dyDescent="0.3">
      <c r="A403" t="s">
        <v>416</v>
      </c>
      <c r="B403" t="s">
        <v>890</v>
      </c>
      <c r="C403" t="s">
        <v>1294</v>
      </c>
      <c r="D403" t="s">
        <v>1370</v>
      </c>
      <c r="E403" t="s">
        <v>1376</v>
      </c>
      <c r="F403" t="s">
        <v>1378</v>
      </c>
      <c r="G403" t="s">
        <v>1381</v>
      </c>
      <c r="H403" t="s">
        <v>1390</v>
      </c>
      <c r="I403" t="s">
        <v>1393</v>
      </c>
      <c r="J403" t="s">
        <v>1399</v>
      </c>
      <c r="K403" t="s">
        <v>1668</v>
      </c>
      <c r="L403">
        <v>555.41</v>
      </c>
      <c r="M403">
        <v>8</v>
      </c>
      <c r="N403">
        <v>0</v>
      </c>
      <c r="O403">
        <v>55.88</v>
      </c>
    </row>
    <row r="404" spans="1:15" x14ac:dyDescent="0.3">
      <c r="A404" t="s">
        <v>417</v>
      </c>
      <c r="B404" t="s">
        <v>891</v>
      </c>
      <c r="C404" t="s">
        <v>1295</v>
      </c>
      <c r="D404" t="s">
        <v>1369</v>
      </c>
      <c r="E404" t="s">
        <v>1376</v>
      </c>
      <c r="F404" t="s">
        <v>1378</v>
      </c>
      <c r="G404" t="s">
        <v>1387</v>
      </c>
      <c r="H404" t="s">
        <v>1391</v>
      </c>
      <c r="I404" t="s">
        <v>1392</v>
      </c>
      <c r="J404" t="s">
        <v>1401</v>
      </c>
      <c r="K404" t="s">
        <v>1612</v>
      </c>
      <c r="L404">
        <v>1027.52</v>
      </c>
      <c r="M404">
        <v>10</v>
      </c>
      <c r="O404">
        <v>-52.18</v>
      </c>
    </row>
    <row r="405" spans="1:15" x14ac:dyDescent="0.3">
      <c r="A405" t="s">
        <v>418</v>
      </c>
      <c r="B405" t="s">
        <v>892</v>
      </c>
      <c r="C405" t="s">
        <v>1142</v>
      </c>
      <c r="D405" t="s">
        <v>1366</v>
      </c>
      <c r="E405" t="s">
        <v>1376</v>
      </c>
      <c r="F405" t="s">
        <v>1379</v>
      </c>
      <c r="G405" t="s">
        <v>1385</v>
      </c>
      <c r="H405" t="s">
        <v>1388</v>
      </c>
      <c r="I405" t="s">
        <v>1393</v>
      </c>
      <c r="J405" t="s">
        <v>1396</v>
      </c>
      <c r="K405" t="s">
        <v>1669</v>
      </c>
      <c r="L405">
        <v>229.35</v>
      </c>
      <c r="M405">
        <v>8</v>
      </c>
      <c r="O405">
        <v>-4.57</v>
      </c>
    </row>
    <row r="406" spans="1:15" x14ac:dyDescent="0.3">
      <c r="A406" t="s">
        <v>419</v>
      </c>
      <c r="B406" t="s">
        <v>893</v>
      </c>
      <c r="C406" t="s">
        <v>1296</v>
      </c>
      <c r="D406" t="s">
        <v>1359</v>
      </c>
      <c r="E406" t="s">
        <v>1374</v>
      </c>
      <c r="F406" t="s">
        <v>1378</v>
      </c>
      <c r="G406" t="s">
        <v>1383</v>
      </c>
      <c r="H406" t="s">
        <v>1388</v>
      </c>
      <c r="I406" t="s">
        <v>1392</v>
      </c>
      <c r="J406" t="s">
        <v>1397</v>
      </c>
      <c r="K406" t="s">
        <v>1609</v>
      </c>
      <c r="L406">
        <v>575.55999999999995</v>
      </c>
      <c r="M406">
        <v>2</v>
      </c>
      <c r="N406">
        <v>0.15</v>
      </c>
      <c r="O406">
        <v>-20.37</v>
      </c>
    </row>
    <row r="407" spans="1:15" x14ac:dyDescent="0.3">
      <c r="A407" t="s">
        <v>420</v>
      </c>
      <c r="B407" t="s">
        <v>894</v>
      </c>
      <c r="C407" t="s">
        <v>999</v>
      </c>
      <c r="D407" t="s">
        <v>1362</v>
      </c>
      <c r="E407" t="s">
        <v>1374</v>
      </c>
      <c r="F407" t="s">
        <v>1379</v>
      </c>
      <c r="G407" t="s">
        <v>1387</v>
      </c>
      <c r="H407" t="s">
        <v>1389</v>
      </c>
      <c r="I407" t="s">
        <v>1392</v>
      </c>
      <c r="J407" t="s">
        <v>1397</v>
      </c>
      <c r="K407" t="s">
        <v>1488</v>
      </c>
      <c r="L407">
        <v>874.41</v>
      </c>
      <c r="M407">
        <v>10</v>
      </c>
      <c r="N407">
        <v>0.15</v>
      </c>
      <c r="O407">
        <v>11.83</v>
      </c>
    </row>
    <row r="408" spans="1:15" x14ac:dyDescent="0.3">
      <c r="A408" t="s">
        <v>421</v>
      </c>
      <c r="B408" t="s">
        <v>520</v>
      </c>
      <c r="C408" t="s">
        <v>1284</v>
      </c>
      <c r="D408" t="s">
        <v>1369</v>
      </c>
      <c r="E408" t="s">
        <v>1376</v>
      </c>
      <c r="F408" t="s">
        <v>1380</v>
      </c>
      <c r="G408" t="s">
        <v>1382</v>
      </c>
      <c r="H408" t="s">
        <v>1390</v>
      </c>
      <c r="I408" t="s">
        <v>1394</v>
      </c>
      <c r="J408" t="s">
        <v>1402</v>
      </c>
      <c r="K408" t="s">
        <v>1432</v>
      </c>
      <c r="L408">
        <v>1062.72</v>
      </c>
      <c r="M408">
        <v>4</v>
      </c>
      <c r="N408">
        <v>0.15</v>
      </c>
      <c r="O408">
        <v>307.79000000000002</v>
      </c>
    </row>
    <row r="409" spans="1:15" x14ac:dyDescent="0.3">
      <c r="A409" t="s">
        <v>422</v>
      </c>
      <c r="B409" t="s">
        <v>895</v>
      </c>
      <c r="C409" t="s">
        <v>1036</v>
      </c>
      <c r="D409" t="s">
        <v>1372</v>
      </c>
      <c r="E409" t="s">
        <v>1375</v>
      </c>
      <c r="F409" t="s">
        <v>1379</v>
      </c>
      <c r="G409" t="s">
        <v>1384</v>
      </c>
      <c r="H409" t="s">
        <v>1391</v>
      </c>
      <c r="I409" t="s">
        <v>1392</v>
      </c>
      <c r="J409" t="s">
        <v>1397</v>
      </c>
      <c r="K409" t="s">
        <v>1504</v>
      </c>
      <c r="L409">
        <v>432.59</v>
      </c>
      <c r="M409">
        <v>4</v>
      </c>
      <c r="N409">
        <v>0</v>
      </c>
      <c r="O409">
        <v>52.04</v>
      </c>
    </row>
    <row r="410" spans="1:15" x14ac:dyDescent="0.3">
      <c r="A410" t="s">
        <v>423</v>
      </c>
      <c r="B410" t="s">
        <v>896</v>
      </c>
      <c r="C410" t="s">
        <v>1146</v>
      </c>
      <c r="D410" t="s">
        <v>1368</v>
      </c>
      <c r="E410" t="s">
        <v>1376</v>
      </c>
      <c r="F410" t="s">
        <v>1377</v>
      </c>
      <c r="G410" t="s">
        <v>1385</v>
      </c>
      <c r="H410" t="s">
        <v>1388</v>
      </c>
      <c r="I410" t="s">
        <v>1393</v>
      </c>
      <c r="J410" t="s">
        <v>1399</v>
      </c>
      <c r="K410" t="s">
        <v>1448</v>
      </c>
      <c r="L410">
        <v>422.81</v>
      </c>
      <c r="M410">
        <v>10</v>
      </c>
      <c r="O410">
        <v>118.41</v>
      </c>
    </row>
    <row r="411" spans="1:15" x14ac:dyDescent="0.3">
      <c r="A411" t="s">
        <v>424</v>
      </c>
      <c r="B411" t="s">
        <v>897</v>
      </c>
      <c r="C411" t="s">
        <v>1297</v>
      </c>
      <c r="D411" t="s">
        <v>1361</v>
      </c>
      <c r="E411" t="s">
        <v>1376</v>
      </c>
      <c r="F411" t="s">
        <v>1379</v>
      </c>
      <c r="G411" t="s">
        <v>1383</v>
      </c>
      <c r="H411" t="s">
        <v>1388</v>
      </c>
      <c r="I411" t="s">
        <v>1392</v>
      </c>
      <c r="J411" t="s">
        <v>1395</v>
      </c>
      <c r="K411" t="s">
        <v>1670</v>
      </c>
      <c r="L411">
        <v>563.53</v>
      </c>
      <c r="M411">
        <v>9</v>
      </c>
      <c r="N411">
        <v>0.15</v>
      </c>
      <c r="O411">
        <v>17.600000000000001</v>
      </c>
    </row>
    <row r="412" spans="1:15" x14ac:dyDescent="0.3">
      <c r="A412" t="s">
        <v>425</v>
      </c>
      <c r="B412" t="s">
        <v>898</v>
      </c>
      <c r="C412" t="s">
        <v>1298</v>
      </c>
      <c r="D412" t="s">
        <v>1359</v>
      </c>
      <c r="E412" t="s">
        <v>1374</v>
      </c>
      <c r="F412" t="s">
        <v>1377</v>
      </c>
      <c r="G412" t="s">
        <v>1387</v>
      </c>
      <c r="H412" t="s">
        <v>1388</v>
      </c>
      <c r="I412" t="s">
        <v>1394</v>
      </c>
      <c r="J412" t="s">
        <v>1402</v>
      </c>
      <c r="K412" t="s">
        <v>1540</v>
      </c>
      <c r="L412">
        <v>1164.1400000000001</v>
      </c>
      <c r="M412">
        <v>5</v>
      </c>
      <c r="N412">
        <v>0</v>
      </c>
      <c r="O412">
        <v>-35.42</v>
      </c>
    </row>
    <row r="413" spans="1:15" x14ac:dyDescent="0.3">
      <c r="A413" t="s">
        <v>426</v>
      </c>
      <c r="B413" t="s">
        <v>899</v>
      </c>
      <c r="C413" t="s">
        <v>1299</v>
      </c>
      <c r="D413" t="s">
        <v>1373</v>
      </c>
      <c r="E413" t="s">
        <v>1375</v>
      </c>
      <c r="F413" t="s">
        <v>1379</v>
      </c>
      <c r="G413" t="s">
        <v>1387</v>
      </c>
      <c r="H413" t="s">
        <v>1388</v>
      </c>
      <c r="I413" t="s">
        <v>1393</v>
      </c>
      <c r="J413" t="s">
        <v>1400</v>
      </c>
      <c r="K413" t="s">
        <v>1445</v>
      </c>
      <c r="L413">
        <v>340.37</v>
      </c>
      <c r="M413">
        <v>2</v>
      </c>
      <c r="N413">
        <v>0.2</v>
      </c>
      <c r="O413">
        <v>81.19</v>
      </c>
    </row>
    <row r="414" spans="1:15" x14ac:dyDescent="0.3">
      <c r="A414" t="s">
        <v>427</v>
      </c>
      <c r="B414" t="s">
        <v>900</v>
      </c>
      <c r="C414" t="s">
        <v>1300</v>
      </c>
      <c r="D414" t="s">
        <v>1368</v>
      </c>
      <c r="E414" t="s">
        <v>1376</v>
      </c>
      <c r="F414" t="s">
        <v>1379</v>
      </c>
      <c r="G414" t="s">
        <v>1386</v>
      </c>
      <c r="H414" t="s">
        <v>1391</v>
      </c>
      <c r="I414" t="s">
        <v>1392</v>
      </c>
      <c r="J414" t="s">
        <v>1401</v>
      </c>
      <c r="K414" t="s">
        <v>1671</v>
      </c>
      <c r="L414">
        <v>543.65</v>
      </c>
      <c r="M414">
        <v>1</v>
      </c>
      <c r="N414">
        <v>0.2</v>
      </c>
      <c r="O414">
        <v>137.26</v>
      </c>
    </row>
    <row r="415" spans="1:15" x14ac:dyDescent="0.3">
      <c r="A415" t="s">
        <v>428</v>
      </c>
      <c r="B415" t="s">
        <v>901</v>
      </c>
      <c r="C415" t="s">
        <v>1128</v>
      </c>
      <c r="D415" t="s">
        <v>1359</v>
      </c>
      <c r="E415" t="s">
        <v>1375</v>
      </c>
      <c r="F415" t="s">
        <v>1379</v>
      </c>
      <c r="G415" t="s">
        <v>1381</v>
      </c>
      <c r="H415" t="s">
        <v>1388</v>
      </c>
      <c r="I415" t="s">
        <v>1393</v>
      </c>
      <c r="J415" t="s">
        <v>1396</v>
      </c>
      <c r="K415" t="s">
        <v>1405</v>
      </c>
      <c r="L415">
        <v>1191.4100000000001</v>
      </c>
      <c r="M415">
        <v>4</v>
      </c>
      <c r="N415">
        <v>0</v>
      </c>
      <c r="O415">
        <v>35.369999999999997</v>
      </c>
    </row>
    <row r="416" spans="1:15" x14ac:dyDescent="0.3">
      <c r="A416" t="s">
        <v>429</v>
      </c>
      <c r="B416" t="s">
        <v>902</v>
      </c>
      <c r="C416" t="s">
        <v>1301</v>
      </c>
      <c r="D416" t="s">
        <v>1368</v>
      </c>
      <c r="E416" t="s">
        <v>1375</v>
      </c>
      <c r="F416" t="s">
        <v>1378</v>
      </c>
      <c r="G416" t="s">
        <v>1384</v>
      </c>
      <c r="H416" t="s">
        <v>1391</v>
      </c>
      <c r="I416" t="s">
        <v>1392</v>
      </c>
      <c r="J416" t="s">
        <v>1395</v>
      </c>
      <c r="K416" t="s">
        <v>1672</v>
      </c>
      <c r="L416">
        <v>924.09</v>
      </c>
      <c r="M416">
        <v>5</v>
      </c>
      <c r="N416">
        <v>0</v>
      </c>
      <c r="O416">
        <v>82.04</v>
      </c>
    </row>
    <row r="417" spans="1:15" x14ac:dyDescent="0.3">
      <c r="A417" t="s">
        <v>430</v>
      </c>
      <c r="B417" t="s">
        <v>903</v>
      </c>
      <c r="C417" t="s">
        <v>1292</v>
      </c>
      <c r="D417" t="s">
        <v>1364</v>
      </c>
      <c r="E417" t="s">
        <v>1375</v>
      </c>
      <c r="F417" t="s">
        <v>1378</v>
      </c>
      <c r="G417" t="s">
        <v>1383</v>
      </c>
      <c r="H417" t="s">
        <v>1391</v>
      </c>
      <c r="I417" t="s">
        <v>1393</v>
      </c>
      <c r="J417" t="s">
        <v>1400</v>
      </c>
      <c r="K417" t="s">
        <v>1629</v>
      </c>
      <c r="L417">
        <v>341.73</v>
      </c>
      <c r="M417">
        <v>3</v>
      </c>
      <c r="N417">
        <v>0.15</v>
      </c>
      <c r="O417">
        <v>-48.79</v>
      </c>
    </row>
    <row r="418" spans="1:15" x14ac:dyDescent="0.3">
      <c r="A418" t="s">
        <v>431</v>
      </c>
      <c r="B418" t="s">
        <v>904</v>
      </c>
      <c r="C418" t="s">
        <v>1269</v>
      </c>
      <c r="D418" t="s">
        <v>1360</v>
      </c>
      <c r="E418" t="s">
        <v>1374</v>
      </c>
      <c r="F418" t="s">
        <v>1377</v>
      </c>
      <c r="G418" t="s">
        <v>1381</v>
      </c>
      <c r="H418" t="s">
        <v>1390</v>
      </c>
      <c r="I418" t="s">
        <v>1392</v>
      </c>
      <c r="J418" t="s">
        <v>1395</v>
      </c>
      <c r="K418" t="s">
        <v>1640</v>
      </c>
      <c r="L418">
        <v>968.72</v>
      </c>
      <c r="M418">
        <v>10</v>
      </c>
      <c r="N418">
        <v>0.1</v>
      </c>
      <c r="O418">
        <v>-110.79</v>
      </c>
    </row>
    <row r="419" spans="1:15" x14ac:dyDescent="0.3">
      <c r="A419" t="s">
        <v>432</v>
      </c>
      <c r="B419" t="s">
        <v>905</v>
      </c>
      <c r="C419" t="s">
        <v>1302</v>
      </c>
      <c r="D419" t="s">
        <v>1364</v>
      </c>
      <c r="E419" t="s">
        <v>1374</v>
      </c>
      <c r="F419" t="s">
        <v>1377</v>
      </c>
      <c r="G419" t="s">
        <v>1383</v>
      </c>
      <c r="H419" t="s">
        <v>1391</v>
      </c>
      <c r="I419" t="s">
        <v>1392</v>
      </c>
      <c r="J419" t="s">
        <v>1397</v>
      </c>
      <c r="K419" t="s">
        <v>1443</v>
      </c>
      <c r="L419">
        <v>83.48</v>
      </c>
      <c r="M419">
        <v>7</v>
      </c>
      <c r="N419">
        <v>0.2</v>
      </c>
      <c r="O419">
        <v>-9.23</v>
      </c>
    </row>
    <row r="420" spans="1:15" x14ac:dyDescent="0.3">
      <c r="A420" t="s">
        <v>433</v>
      </c>
      <c r="B420" t="s">
        <v>580</v>
      </c>
      <c r="C420" t="s">
        <v>1303</v>
      </c>
      <c r="D420" t="s">
        <v>1367</v>
      </c>
      <c r="E420" t="s">
        <v>1376</v>
      </c>
      <c r="F420" t="s">
        <v>1379</v>
      </c>
      <c r="G420" t="s">
        <v>1382</v>
      </c>
      <c r="H420" t="s">
        <v>1389</v>
      </c>
      <c r="I420" t="s">
        <v>1393</v>
      </c>
      <c r="J420" t="s">
        <v>1396</v>
      </c>
      <c r="K420" t="s">
        <v>1550</v>
      </c>
      <c r="L420">
        <v>974.97</v>
      </c>
      <c r="M420">
        <v>2</v>
      </c>
      <c r="N420">
        <v>0.2</v>
      </c>
      <c r="O420">
        <v>81.790000000000006</v>
      </c>
    </row>
    <row r="421" spans="1:15" x14ac:dyDescent="0.3">
      <c r="A421" t="s">
        <v>434</v>
      </c>
      <c r="B421" t="s">
        <v>906</v>
      </c>
      <c r="C421" t="s">
        <v>1212</v>
      </c>
      <c r="D421" t="s">
        <v>1372</v>
      </c>
      <c r="E421" t="s">
        <v>1376</v>
      </c>
      <c r="F421" t="s">
        <v>1377</v>
      </c>
      <c r="G421" t="s">
        <v>1381</v>
      </c>
      <c r="H421" t="s">
        <v>1388</v>
      </c>
      <c r="I421" t="s">
        <v>1392</v>
      </c>
      <c r="J421" t="s">
        <v>1395</v>
      </c>
      <c r="K421" t="s">
        <v>1626</v>
      </c>
      <c r="L421">
        <v>324.5</v>
      </c>
      <c r="M421">
        <v>6</v>
      </c>
      <c r="N421">
        <v>0.2</v>
      </c>
      <c r="O421">
        <v>-35.15</v>
      </c>
    </row>
    <row r="422" spans="1:15" x14ac:dyDescent="0.3">
      <c r="A422" t="s">
        <v>435</v>
      </c>
      <c r="B422" t="s">
        <v>907</v>
      </c>
      <c r="C422" t="s">
        <v>1304</v>
      </c>
      <c r="D422" t="s">
        <v>1359</v>
      </c>
      <c r="E422" t="s">
        <v>1376</v>
      </c>
      <c r="F422" t="s">
        <v>1380</v>
      </c>
      <c r="G422" t="s">
        <v>1384</v>
      </c>
      <c r="H422" t="s">
        <v>1388</v>
      </c>
      <c r="I422" t="s">
        <v>1394</v>
      </c>
      <c r="J422" t="s">
        <v>1403</v>
      </c>
      <c r="K422" t="s">
        <v>1673</v>
      </c>
      <c r="L422">
        <v>1018</v>
      </c>
      <c r="M422">
        <v>5</v>
      </c>
      <c r="N422">
        <v>0.15</v>
      </c>
      <c r="O422">
        <v>104.06</v>
      </c>
    </row>
    <row r="423" spans="1:15" x14ac:dyDescent="0.3">
      <c r="A423" t="s">
        <v>436</v>
      </c>
      <c r="B423" t="s">
        <v>908</v>
      </c>
      <c r="C423" t="s">
        <v>1305</v>
      </c>
      <c r="D423" t="s">
        <v>1367</v>
      </c>
      <c r="E423" t="s">
        <v>1376</v>
      </c>
      <c r="F423" t="s">
        <v>1378</v>
      </c>
      <c r="G423" t="s">
        <v>1386</v>
      </c>
      <c r="H423" t="s">
        <v>1389</v>
      </c>
      <c r="I423" t="s">
        <v>1394</v>
      </c>
      <c r="J423" t="s">
        <v>1398</v>
      </c>
      <c r="K423" t="s">
        <v>1674</v>
      </c>
      <c r="L423">
        <v>507.86</v>
      </c>
      <c r="M423">
        <v>10</v>
      </c>
      <c r="N423">
        <v>0.1</v>
      </c>
      <c r="O423">
        <v>37.57</v>
      </c>
    </row>
    <row r="424" spans="1:15" x14ac:dyDescent="0.3">
      <c r="A424" t="s">
        <v>437</v>
      </c>
      <c r="B424" t="s">
        <v>521</v>
      </c>
      <c r="C424" t="s">
        <v>977</v>
      </c>
      <c r="D424" t="s">
        <v>1364</v>
      </c>
      <c r="E424" t="s">
        <v>1376</v>
      </c>
      <c r="F424" t="s">
        <v>1379</v>
      </c>
      <c r="G424" t="s">
        <v>1383</v>
      </c>
      <c r="H424" t="s">
        <v>1388</v>
      </c>
      <c r="I424" t="s">
        <v>1393</v>
      </c>
      <c r="J424" t="s">
        <v>1396</v>
      </c>
      <c r="K424" t="s">
        <v>1434</v>
      </c>
      <c r="L424">
        <v>298.66000000000003</v>
      </c>
      <c r="M424">
        <v>2</v>
      </c>
      <c r="O424">
        <v>65.22</v>
      </c>
    </row>
    <row r="425" spans="1:15" x14ac:dyDescent="0.3">
      <c r="A425" t="s">
        <v>438</v>
      </c>
      <c r="B425" t="s">
        <v>909</v>
      </c>
      <c r="C425" t="s">
        <v>1306</v>
      </c>
      <c r="D425" t="s">
        <v>1369</v>
      </c>
      <c r="E425" t="s">
        <v>1375</v>
      </c>
      <c r="F425" t="s">
        <v>1378</v>
      </c>
      <c r="G425" t="s">
        <v>1383</v>
      </c>
      <c r="H425" t="s">
        <v>1388</v>
      </c>
      <c r="I425" t="s">
        <v>1394</v>
      </c>
      <c r="J425" t="s">
        <v>1402</v>
      </c>
      <c r="K425" t="s">
        <v>1540</v>
      </c>
      <c r="L425">
        <v>725.95</v>
      </c>
      <c r="M425">
        <v>10</v>
      </c>
      <c r="N425">
        <v>0.2</v>
      </c>
      <c r="O425">
        <v>-26.35</v>
      </c>
    </row>
    <row r="426" spans="1:15" x14ac:dyDescent="0.3">
      <c r="A426" t="s">
        <v>439</v>
      </c>
      <c r="B426" t="s">
        <v>910</v>
      </c>
      <c r="C426" t="s">
        <v>1307</v>
      </c>
      <c r="D426" t="s">
        <v>1372</v>
      </c>
      <c r="E426" t="s">
        <v>1374</v>
      </c>
      <c r="F426" t="s">
        <v>1379</v>
      </c>
      <c r="G426" t="s">
        <v>1385</v>
      </c>
      <c r="H426" t="s">
        <v>1391</v>
      </c>
      <c r="I426" t="s">
        <v>1394</v>
      </c>
      <c r="J426" t="s">
        <v>1398</v>
      </c>
      <c r="K426" t="s">
        <v>1675</v>
      </c>
      <c r="L426">
        <v>363.97</v>
      </c>
      <c r="M426">
        <v>10</v>
      </c>
      <c r="O426">
        <v>8.58</v>
      </c>
    </row>
    <row r="427" spans="1:15" x14ac:dyDescent="0.3">
      <c r="A427" t="s">
        <v>440</v>
      </c>
      <c r="B427" t="s">
        <v>911</v>
      </c>
      <c r="C427" t="s">
        <v>1298</v>
      </c>
      <c r="D427" t="s">
        <v>1369</v>
      </c>
      <c r="E427" t="s">
        <v>1374</v>
      </c>
      <c r="F427" t="s">
        <v>1379</v>
      </c>
      <c r="G427" t="s">
        <v>1381</v>
      </c>
      <c r="H427" t="s">
        <v>1391</v>
      </c>
      <c r="I427" t="s">
        <v>1393</v>
      </c>
      <c r="J427" t="s">
        <v>1396</v>
      </c>
      <c r="K427" t="s">
        <v>1587</v>
      </c>
      <c r="L427">
        <v>496.95</v>
      </c>
      <c r="M427">
        <v>3</v>
      </c>
      <c r="N427">
        <v>0.15</v>
      </c>
      <c r="O427">
        <v>-83.88</v>
      </c>
    </row>
    <row r="428" spans="1:15" x14ac:dyDescent="0.3">
      <c r="A428" t="s">
        <v>441</v>
      </c>
      <c r="B428" t="s">
        <v>912</v>
      </c>
      <c r="C428" t="s">
        <v>1308</v>
      </c>
      <c r="D428" t="s">
        <v>1359</v>
      </c>
      <c r="E428" t="s">
        <v>1374</v>
      </c>
      <c r="F428" t="s">
        <v>1378</v>
      </c>
      <c r="G428" t="s">
        <v>1385</v>
      </c>
      <c r="H428" t="s">
        <v>1390</v>
      </c>
      <c r="I428" t="s">
        <v>1393</v>
      </c>
      <c r="J428" t="s">
        <v>1396</v>
      </c>
      <c r="K428" t="s">
        <v>1676</v>
      </c>
      <c r="L428">
        <v>485.24</v>
      </c>
      <c r="M428">
        <v>6</v>
      </c>
      <c r="N428">
        <v>0.2</v>
      </c>
      <c r="O428">
        <v>1.46</v>
      </c>
    </row>
    <row r="429" spans="1:15" x14ac:dyDescent="0.3">
      <c r="A429" t="s">
        <v>442</v>
      </c>
      <c r="B429" t="s">
        <v>913</v>
      </c>
      <c r="C429" t="s">
        <v>1309</v>
      </c>
      <c r="D429" t="s">
        <v>1369</v>
      </c>
      <c r="E429" t="s">
        <v>1374</v>
      </c>
      <c r="F429" t="s">
        <v>1377</v>
      </c>
      <c r="G429" t="s">
        <v>1382</v>
      </c>
      <c r="H429" t="s">
        <v>1389</v>
      </c>
      <c r="I429" t="s">
        <v>1394</v>
      </c>
      <c r="J429" t="s">
        <v>1403</v>
      </c>
      <c r="K429" t="s">
        <v>1677</v>
      </c>
      <c r="L429">
        <v>202.04</v>
      </c>
      <c r="M429">
        <v>3</v>
      </c>
      <c r="N429">
        <v>0.1</v>
      </c>
      <c r="O429">
        <v>-39.24</v>
      </c>
    </row>
    <row r="430" spans="1:15" x14ac:dyDescent="0.3">
      <c r="A430" t="s">
        <v>443</v>
      </c>
      <c r="B430" t="s">
        <v>914</v>
      </c>
      <c r="C430" t="s">
        <v>974</v>
      </c>
      <c r="D430" t="s">
        <v>1360</v>
      </c>
      <c r="E430" t="s">
        <v>1374</v>
      </c>
      <c r="F430" t="s">
        <v>1377</v>
      </c>
      <c r="G430" t="s">
        <v>1385</v>
      </c>
      <c r="H430" t="s">
        <v>1391</v>
      </c>
      <c r="I430" t="s">
        <v>1393</v>
      </c>
      <c r="J430" t="s">
        <v>1399</v>
      </c>
      <c r="K430" t="s">
        <v>1435</v>
      </c>
      <c r="L430">
        <v>1034.98</v>
      </c>
      <c r="M430">
        <v>10</v>
      </c>
      <c r="N430">
        <v>0.2</v>
      </c>
      <c r="O430">
        <v>115.53</v>
      </c>
    </row>
    <row r="431" spans="1:15" x14ac:dyDescent="0.3">
      <c r="A431" t="s">
        <v>444</v>
      </c>
      <c r="B431" t="s">
        <v>636</v>
      </c>
      <c r="C431" t="s">
        <v>1310</v>
      </c>
      <c r="D431" t="s">
        <v>1360</v>
      </c>
      <c r="E431" t="s">
        <v>1375</v>
      </c>
      <c r="F431" t="s">
        <v>1380</v>
      </c>
      <c r="G431" t="s">
        <v>1383</v>
      </c>
      <c r="H431" t="s">
        <v>1389</v>
      </c>
      <c r="I431" t="s">
        <v>1393</v>
      </c>
      <c r="J431" t="s">
        <v>1400</v>
      </c>
      <c r="K431" t="s">
        <v>1678</v>
      </c>
      <c r="L431">
        <v>701.97</v>
      </c>
      <c r="M431">
        <v>4</v>
      </c>
      <c r="O431">
        <v>-45.89</v>
      </c>
    </row>
    <row r="432" spans="1:15" x14ac:dyDescent="0.3">
      <c r="A432" t="s">
        <v>445</v>
      </c>
      <c r="B432" t="s">
        <v>915</v>
      </c>
      <c r="C432" t="s">
        <v>1050</v>
      </c>
      <c r="D432" t="s">
        <v>1372</v>
      </c>
      <c r="E432" t="s">
        <v>1374</v>
      </c>
      <c r="F432" t="s">
        <v>1380</v>
      </c>
      <c r="G432" t="s">
        <v>1383</v>
      </c>
      <c r="H432" t="s">
        <v>1388</v>
      </c>
      <c r="I432" t="s">
        <v>1393</v>
      </c>
      <c r="J432" t="s">
        <v>1399</v>
      </c>
      <c r="K432" t="s">
        <v>1679</v>
      </c>
      <c r="L432">
        <v>1154.8499999999999</v>
      </c>
      <c r="M432">
        <v>2</v>
      </c>
      <c r="N432">
        <v>0.1</v>
      </c>
      <c r="O432">
        <v>190.66</v>
      </c>
    </row>
    <row r="433" spans="1:15" x14ac:dyDescent="0.3">
      <c r="A433" t="s">
        <v>446</v>
      </c>
      <c r="B433" t="s">
        <v>916</v>
      </c>
      <c r="C433" t="s">
        <v>1311</v>
      </c>
      <c r="D433" t="s">
        <v>1359</v>
      </c>
      <c r="E433" t="s">
        <v>1376</v>
      </c>
      <c r="F433" t="s">
        <v>1377</v>
      </c>
      <c r="G433" t="s">
        <v>1383</v>
      </c>
      <c r="H433" t="s">
        <v>1389</v>
      </c>
      <c r="I433" t="s">
        <v>1393</v>
      </c>
      <c r="J433" t="s">
        <v>1396</v>
      </c>
      <c r="K433" t="s">
        <v>1596</v>
      </c>
      <c r="L433">
        <v>656.25</v>
      </c>
      <c r="M433">
        <v>10</v>
      </c>
      <c r="N433">
        <v>0.15</v>
      </c>
      <c r="O433">
        <v>69.900000000000006</v>
      </c>
    </row>
    <row r="434" spans="1:15" x14ac:dyDescent="0.3">
      <c r="A434" t="s">
        <v>447</v>
      </c>
      <c r="B434" t="s">
        <v>811</v>
      </c>
      <c r="C434" t="s">
        <v>1312</v>
      </c>
      <c r="D434" t="s">
        <v>1364</v>
      </c>
      <c r="E434" t="s">
        <v>1376</v>
      </c>
      <c r="F434" t="s">
        <v>1379</v>
      </c>
      <c r="G434" t="s">
        <v>1381</v>
      </c>
      <c r="H434" t="s">
        <v>1389</v>
      </c>
      <c r="I434" t="s">
        <v>1394</v>
      </c>
      <c r="J434" t="s">
        <v>1403</v>
      </c>
      <c r="K434" t="s">
        <v>1603</v>
      </c>
      <c r="L434">
        <v>1153.49</v>
      </c>
      <c r="M434">
        <v>5</v>
      </c>
      <c r="N434">
        <v>0.15</v>
      </c>
      <c r="O434">
        <v>-134.09</v>
      </c>
    </row>
    <row r="435" spans="1:15" x14ac:dyDescent="0.3">
      <c r="A435" t="s">
        <v>448</v>
      </c>
      <c r="B435" t="s">
        <v>917</v>
      </c>
      <c r="C435" t="s">
        <v>1313</v>
      </c>
      <c r="D435" t="s">
        <v>1370</v>
      </c>
      <c r="E435" t="s">
        <v>1375</v>
      </c>
      <c r="F435" t="s">
        <v>1379</v>
      </c>
      <c r="G435" t="s">
        <v>1384</v>
      </c>
      <c r="H435" t="s">
        <v>1390</v>
      </c>
      <c r="I435" t="s">
        <v>1392</v>
      </c>
      <c r="J435" t="s">
        <v>1395</v>
      </c>
      <c r="K435" t="s">
        <v>1520</v>
      </c>
      <c r="L435">
        <v>1188.6300000000001</v>
      </c>
      <c r="M435">
        <v>10</v>
      </c>
      <c r="N435">
        <v>0</v>
      </c>
      <c r="O435">
        <v>-67.27</v>
      </c>
    </row>
    <row r="436" spans="1:15" x14ac:dyDescent="0.3">
      <c r="A436" t="s">
        <v>449</v>
      </c>
      <c r="B436" t="s">
        <v>918</v>
      </c>
      <c r="C436" t="s">
        <v>1314</v>
      </c>
      <c r="D436" t="s">
        <v>1370</v>
      </c>
      <c r="E436" t="s">
        <v>1376</v>
      </c>
      <c r="F436" t="s">
        <v>1379</v>
      </c>
      <c r="G436" t="s">
        <v>1386</v>
      </c>
      <c r="H436" t="s">
        <v>1390</v>
      </c>
      <c r="I436" t="s">
        <v>1394</v>
      </c>
      <c r="J436" t="s">
        <v>1402</v>
      </c>
      <c r="K436" t="s">
        <v>1680</v>
      </c>
      <c r="L436">
        <v>894.89</v>
      </c>
      <c r="M436">
        <v>10</v>
      </c>
      <c r="N436">
        <v>0.1</v>
      </c>
      <c r="O436">
        <v>228.26</v>
      </c>
    </row>
    <row r="437" spans="1:15" x14ac:dyDescent="0.3">
      <c r="A437" t="s">
        <v>450</v>
      </c>
      <c r="B437" t="s">
        <v>919</v>
      </c>
      <c r="C437" t="s">
        <v>1315</v>
      </c>
      <c r="D437" t="s">
        <v>1359</v>
      </c>
      <c r="E437" t="s">
        <v>1376</v>
      </c>
      <c r="F437" t="s">
        <v>1377</v>
      </c>
      <c r="G437" t="s">
        <v>1386</v>
      </c>
      <c r="H437" t="s">
        <v>1389</v>
      </c>
      <c r="I437" t="s">
        <v>1394</v>
      </c>
      <c r="J437" t="s">
        <v>1402</v>
      </c>
      <c r="K437" t="s">
        <v>1681</v>
      </c>
      <c r="L437">
        <v>963.26</v>
      </c>
      <c r="M437">
        <v>1</v>
      </c>
      <c r="N437">
        <v>0.15</v>
      </c>
      <c r="O437">
        <v>281.31</v>
      </c>
    </row>
    <row r="438" spans="1:15" x14ac:dyDescent="0.3">
      <c r="A438" t="s">
        <v>451</v>
      </c>
      <c r="B438" t="s">
        <v>920</v>
      </c>
      <c r="C438" t="s">
        <v>1316</v>
      </c>
      <c r="D438" t="s">
        <v>1369</v>
      </c>
      <c r="E438" t="s">
        <v>1375</v>
      </c>
      <c r="F438" t="s">
        <v>1377</v>
      </c>
      <c r="G438" t="s">
        <v>1385</v>
      </c>
      <c r="H438" t="s">
        <v>1389</v>
      </c>
      <c r="I438" t="s">
        <v>1393</v>
      </c>
      <c r="J438" t="s">
        <v>1396</v>
      </c>
      <c r="K438" t="s">
        <v>1533</v>
      </c>
      <c r="L438">
        <v>217.39</v>
      </c>
      <c r="M438">
        <v>10</v>
      </c>
      <c r="N438">
        <v>0.15</v>
      </c>
      <c r="O438">
        <v>-37.57</v>
      </c>
    </row>
    <row r="439" spans="1:15" x14ac:dyDescent="0.3">
      <c r="A439" t="s">
        <v>452</v>
      </c>
      <c r="B439" t="s">
        <v>921</v>
      </c>
      <c r="C439" t="s">
        <v>1317</v>
      </c>
      <c r="D439" t="s">
        <v>1367</v>
      </c>
      <c r="E439" t="s">
        <v>1376</v>
      </c>
      <c r="F439" t="s">
        <v>1377</v>
      </c>
      <c r="G439" t="s">
        <v>1385</v>
      </c>
      <c r="H439" t="s">
        <v>1391</v>
      </c>
      <c r="I439" t="s">
        <v>1392</v>
      </c>
      <c r="J439" t="s">
        <v>1397</v>
      </c>
      <c r="K439" t="s">
        <v>1488</v>
      </c>
      <c r="L439">
        <v>826.54</v>
      </c>
      <c r="M439">
        <v>7</v>
      </c>
      <c r="N439">
        <v>0.2</v>
      </c>
      <c r="O439">
        <v>-56.77</v>
      </c>
    </row>
    <row r="440" spans="1:15" x14ac:dyDescent="0.3">
      <c r="A440" t="s">
        <v>453</v>
      </c>
      <c r="B440" t="s">
        <v>922</v>
      </c>
      <c r="C440" t="s">
        <v>1318</v>
      </c>
      <c r="D440" t="s">
        <v>1372</v>
      </c>
      <c r="E440" t="s">
        <v>1376</v>
      </c>
      <c r="F440" t="s">
        <v>1380</v>
      </c>
      <c r="G440" t="s">
        <v>1384</v>
      </c>
      <c r="H440" t="s">
        <v>1389</v>
      </c>
      <c r="I440" t="s">
        <v>1392</v>
      </c>
      <c r="J440" t="s">
        <v>1395</v>
      </c>
      <c r="K440" t="s">
        <v>1429</v>
      </c>
      <c r="L440">
        <v>772.16</v>
      </c>
      <c r="M440">
        <v>7</v>
      </c>
      <c r="O440">
        <v>200.01</v>
      </c>
    </row>
    <row r="441" spans="1:15" x14ac:dyDescent="0.3">
      <c r="A441" t="s">
        <v>454</v>
      </c>
      <c r="B441" t="s">
        <v>579</v>
      </c>
      <c r="C441" t="s">
        <v>1319</v>
      </c>
      <c r="D441" t="s">
        <v>1368</v>
      </c>
      <c r="E441" t="s">
        <v>1374</v>
      </c>
      <c r="F441" t="s">
        <v>1380</v>
      </c>
      <c r="G441" t="s">
        <v>1382</v>
      </c>
      <c r="H441" t="s">
        <v>1388</v>
      </c>
      <c r="I441" t="s">
        <v>1393</v>
      </c>
      <c r="J441" t="s">
        <v>1396</v>
      </c>
      <c r="K441" t="s">
        <v>1682</v>
      </c>
      <c r="L441">
        <v>714.69</v>
      </c>
      <c r="M441">
        <v>4</v>
      </c>
      <c r="O441">
        <v>-22.37</v>
      </c>
    </row>
    <row r="442" spans="1:15" x14ac:dyDescent="0.3">
      <c r="A442" t="s">
        <v>455</v>
      </c>
      <c r="B442" t="s">
        <v>923</v>
      </c>
      <c r="C442" t="s">
        <v>1320</v>
      </c>
      <c r="D442" t="s">
        <v>1371</v>
      </c>
      <c r="E442" t="s">
        <v>1375</v>
      </c>
      <c r="F442" t="s">
        <v>1380</v>
      </c>
      <c r="G442" t="s">
        <v>1383</v>
      </c>
      <c r="H442" t="s">
        <v>1388</v>
      </c>
      <c r="I442" t="s">
        <v>1392</v>
      </c>
      <c r="J442" t="s">
        <v>1395</v>
      </c>
      <c r="K442" t="s">
        <v>1566</v>
      </c>
      <c r="L442">
        <v>142.61000000000001</v>
      </c>
      <c r="M442">
        <v>8</v>
      </c>
      <c r="N442">
        <v>0.15</v>
      </c>
      <c r="O442">
        <v>-12.88</v>
      </c>
    </row>
    <row r="443" spans="1:15" x14ac:dyDescent="0.3">
      <c r="A443" t="s">
        <v>456</v>
      </c>
      <c r="B443" t="s">
        <v>696</v>
      </c>
      <c r="C443" t="s">
        <v>1321</v>
      </c>
      <c r="D443" t="s">
        <v>1365</v>
      </c>
      <c r="E443" t="s">
        <v>1374</v>
      </c>
      <c r="F443" t="s">
        <v>1378</v>
      </c>
      <c r="G443" t="s">
        <v>1381</v>
      </c>
      <c r="H443" t="s">
        <v>1390</v>
      </c>
      <c r="I443" t="s">
        <v>1393</v>
      </c>
      <c r="J443" t="s">
        <v>1396</v>
      </c>
      <c r="K443" t="s">
        <v>1537</v>
      </c>
      <c r="L443">
        <v>163.71</v>
      </c>
      <c r="M443">
        <v>2</v>
      </c>
      <c r="N443">
        <v>0</v>
      </c>
      <c r="O443">
        <v>37.36</v>
      </c>
    </row>
    <row r="444" spans="1:15" x14ac:dyDescent="0.3">
      <c r="A444" t="s">
        <v>457</v>
      </c>
      <c r="B444" t="s">
        <v>793</v>
      </c>
      <c r="C444" t="s">
        <v>1222</v>
      </c>
      <c r="D444" t="s">
        <v>1372</v>
      </c>
      <c r="E444" t="s">
        <v>1375</v>
      </c>
      <c r="F444" t="s">
        <v>1380</v>
      </c>
      <c r="G444" t="s">
        <v>1384</v>
      </c>
      <c r="H444" t="s">
        <v>1388</v>
      </c>
      <c r="I444" t="s">
        <v>1393</v>
      </c>
      <c r="J444" t="s">
        <v>1400</v>
      </c>
      <c r="K444" t="s">
        <v>1647</v>
      </c>
      <c r="L444">
        <v>773.76</v>
      </c>
      <c r="M444">
        <v>5</v>
      </c>
      <c r="N444">
        <v>0.2</v>
      </c>
      <c r="O444">
        <v>113.05</v>
      </c>
    </row>
    <row r="445" spans="1:15" x14ac:dyDescent="0.3">
      <c r="A445" t="s">
        <v>458</v>
      </c>
      <c r="B445" t="s">
        <v>924</v>
      </c>
      <c r="C445" t="s">
        <v>1069</v>
      </c>
      <c r="D445" t="s">
        <v>1370</v>
      </c>
      <c r="E445" t="s">
        <v>1376</v>
      </c>
      <c r="F445" t="s">
        <v>1378</v>
      </c>
      <c r="G445" t="s">
        <v>1382</v>
      </c>
      <c r="H445" t="s">
        <v>1389</v>
      </c>
      <c r="I445" t="s">
        <v>1392</v>
      </c>
      <c r="J445" t="s">
        <v>1397</v>
      </c>
      <c r="K445" t="s">
        <v>1609</v>
      </c>
      <c r="L445">
        <v>1147.6099999999999</v>
      </c>
      <c r="M445">
        <v>5</v>
      </c>
      <c r="N445">
        <v>0.1</v>
      </c>
      <c r="O445">
        <v>23.28</v>
      </c>
    </row>
    <row r="446" spans="1:15" x14ac:dyDescent="0.3">
      <c r="A446" t="s">
        <v>459</v>
      </c>
      <c r="B446" t="s">
        <v>925</v>
      </c>
      <c r="C446" t="s">
        <v>1322</v>
      </c>
      <c r="D446" t="s">
        <v>1369</v>
      </c>
      <c r="E446" t="s">
        <v>1375</v>
      </c>
      <c r="F446" t="s">
        <v>1379</v>
      </c>
      <c r="G446" t="s">
        <v>1386</v>
      </c>
      <c r="H446" t="s">
        <v>1389</v>
      </c>
      <c r="I446" t="s">
        <v>1394</v>
      </c>
      <c r="J446" t="s">
        <v>1402</v>
      </c>
      <c r="K446" t="s">
        <v>1683</v>
      </c>
      <c r="L446">
        <v>744.48</v>
      </c>
      <c r="M446">
        <v>2</v>
      </c>
      <c r="N446">
        <v>0.2</v>
      </c>
      <c r="O446">
        <v>117.4</v>
      </c>
    </row>
    <row r="447" spans="1:15" x14ac:dyDescent="0.3">
      <c r="A447" t="s">
        <v>460</v>
      </c>
      <c r="B447" t="s">
        <v>610</v>
      </c>
      <c r="C447" t="s">
        <v>1323</v>
      </c>
      <c r="D447" t="s">
        <v>1372</v>
      </c>
      <c r="E447" t="s">
        <v>1374</v>
      </c>
      <c r="F447" t="s">
        <v>1380</v>
      </c>
      <c r="G447" t="s">
        <v>1383</v>
      </c>
      <c r="H447" t="s">
        <v>1389</v>
      </c>
      <c r="I447" t="s">
        <v>1393</v>
      </c>
      <c r="J447" t="s">
        <v>1396</v>
      </c>
      <c r="K447" t="s">
        <v>1550</v>
      </c>
      <c r="L447">
        <v>21.02</v>
      </c>
      <c r="M447">
        <v>1</v>
      </c>
      <c r="N447">
        <v>0.2</v>
      </c>
      <c r="O447">
        <v>-1.4</v>
      </c>
    </row>
    <row r="448" spans="1:15" x14ac:dyDescent="0.3">
      <c r="A448" t="s">
        <v>461</v>
      </c>
      <c r="B448" t="s">
        <v>926</v>
      </c>
      <c r="C448" t="s">
        <v>1324</v>
      </c>
      <c r="D448" t="s">
        <v>1361</v>
      </c>
      <c r="E448" t="s">
        <v>1374</v>
      </c>
      <c r="F448" t="s">
        <v>1379</v>
      </c>
      <c r="G448" t="s">
        <v>1384</v>
      </c>
      <c r="H448" t="s">
        <v>1391</v>
      </c>
      <c r="I448" t="s">
        <v>1393</v>
      </c>
      <c r="J448" t="s">
        <v>1400</v>
      </c>
      <c r="K448" t="s">
        <v>1479</v>
      </c>
      <c r="L448">
        <v>657.35</v>
      </c>
      <c r="M448">
        <v>1</v>
      </c>
      <c r="N448">
        <v>0.2</v>
      </c>
      <c r="O448">
        <v>182.14</v>
      </c>
    </row>
    <row r="449" spans="1:15" x14ac:dyDescent="0.3">
      <c r="A449" t="s">
        <v>462</v>
      </c>
      <c r="B449" t="s">
        <v>927</v>
      </c>
      <c r="C449" t="s">
        <v>1325</v>
      </c>
      <c r="D449" t="s">
        <v>1363</v>
      </c>
      <c r="E449" t="s">
        <v>1374</v>
      </c>
      <c r="F449" t="s">
        <v>1380</v>
      </c>
      <c r="G449" t="s">
        <v>1385</v>
      </c>
      <c r="H449" t="s">
        <v>1390</v>
      </c>
      <c r="I449" t="s">
        <v>1394</v>
      </c>
      <c r="J449" t="s">
        <v>1398</v>
      </c>
      <c r="K449" t="s">
        <v>1651</v>
      </c>
      <c r="L449">
        <v>1026.94</v>
      </c>
      <c r="M449">
        <v>6</v>
      </c>
      <c r="N449">
        <v>0</v>
      </c>
      <c r="O449">
        <v>226.53</v>
      </c>
    </row>
    <row r="450" spans="1:15" x14ac:dyDescent="0.3">
      <c r="A450" t="s">
        <v>463</v>
      </c>
      <c r="B450" t="s">
        <v>928</v>
      </c>
      <c r="C450" t="s">
        <v>1326</v>
      </c>
      <c r="D450" t="s">
        <v>1363</v>
      </c>
      <c r="E450" t="s">
        <v>1375</v>
      </c>
      <c r="F450" t="s">
        <v>1378</v>
      </c>
      <c r="G450" t="s">
        <v>1381</v>
      </c>
      <c r="H450" t="s">
        <v>1390</v>
      </c>
      <c r="I450" t="s">
        <v>1392</v>
      </c>
      <c r="J450" t="s">
        <v>1395</v>
      </c>
      <c r="K450" t="s">
        <v>1615</v>
      </c>
      <c r="L450">
        <v>832.83</v>
      </c>
      <c r="M450">
        <v>8</v>
      </c>
      <c r="N450">
        <v>0</v>
      </c>
      <c r="O450">
        <v>202.05</v>
      </c>
    </row>
    <row r="451" spans="1:15" x14ac:dyDescent="0.3">
      <c r="A451" t="s">
        <v>464</v>
      </c>
      <c r="B451" t="s">
        <v>602</v>
      </c>
      <c r="C451" t="s">
        <v>1257</v>
      </c>
      <c r="D451" t="s">
        <v>1366</v>
      </c>
      <c r="E451" t="s">
        <v>1375</v>
      </c>
      <c r="F451" t="s">
        <v>1379</v>
      </c>
      <c r="G451" t="s">
        <v>1386</v>
      </c>
      <c r="H451" t="s">
        <v>1388</v>
      </c>
      <c r="I451" t="s">
        <v>1393</v>
      </c>
      <c r="J451" t="s">
        <v>1396</v>
      </c>
      <c r="K451" t="s">
        <v>1607</v>
      </c>
      <c r="L451">
        <v>383.12</v>
      </c>
      <c r="M451">
        <v>9</v>
      </c>
      <c r="N451">
        <v>0.2</v>
      </c>
      <c r="O451">
        <v>108.53</v>
      </c>
    </row>
    <row r="452" spans="1:15" x14ac:dyDescent="0.3">
      <c r="A452" t="s">
        <v>465</v>
      </c>
      <c r="B452" t="s">
        <v>929</v>
      </c>
      <c r="C452" t="s">
        <v>1327</v>
      </c>
      <c r="D452" t="s">
        <v>1369</v>
      </c>
      <c r="E452" t="s">
        <v>1374</v>
      </c>
      <c r="F452" t="s">
        <v>1378</v>
      </c>
      <c r="G452" t="s">
        <v>1385</v>
      </c>
      <c r="H452" t="s">
        <v>1388</v>
      </c>
      <c r="I452" t="s">
        <v>1393</v>
      </c>
      <c r="J452" t="s">
        <v>1396</v>
      </c>
      <c r="K452" t="s">
        <v>1550</v>
      </c>
      <c r="L452">
        <v>637.28</v>
      </c>
      <c r="M452">
        <v>9</v>
      </c>
      <c r="N452">
        <v>0.1</v>
      </c>
      <c r="O452">
        <v>108.67</v>
      </c>
    </row>
    <row r="453" spans="1:15" x14ac:dyDescent="0.3">
      <c r="A453" t="s">
        <v>466</v>
      </c>
      <c r="B453" t="s">
        <v>930</v>
      </c>
      <c r="C453" t="s">
        <v>1328</v>
      </c>
      <c r="D453" t="s">
        <v>1366</v>
      </c>
      <c r="E453" t="s">
        <v>1374</v>
      </c>
      <c r="F453" t="s">
        <v>1378</v>
      </c>
      <c r="G453" t="s">
        <v>1386</v>
      </c>
      <c r="H453" t="s">
        <v>1388</v>
      </c>
      <c r="I453" t="s">
        <v>1392</v>
      </c>
      <c r="J453" t="s">
        <v>1395</v>
      </c>
      <c r="K453" t="s">
        <v>1684</v>
      </c>
      <c r="L453">
        <v>785.57</v>
      </c>
      <c r="M453">
        <v>1</v>
      </c>
      <c r="N453">
        <v>0.1</v>
      </c>
      <c r="O453">
        <v>91.39</v>
      </c>
    </row>
    <row r="454" spans="1:15" x14ac:dyDescent="0.3">
      <c r="A454" t="s">
        <v>467</v>
      </c>
      <c r="B454" t="s">
        <v>931</v>
      </c>
      <c r="C454" t="s">
        <v>1329</v>
      </c>
      <c r="D454" t="s">
        <v>1373</v>
      </c>
      <c r="E454" t="s">
        <v>1375</v>
      </c>
      <c r="F454" t="s">
        <v>1378</v>
      </c>
      <c r="G454" t="s">
        <v>1384</v>
      </c>
      <c r="H454" t="s">
        <v>1390</v>
      </c>
      <c r="I454" t="s">
        <v>1393</v>
      </c>
      <c r="J454" t="s">
        <v>1396</v>
      </c>
      <c r="K454" t="s">
        <v>1669</v>
      </c>
      <c r="L454">
        <v>280.27999999999997</v>
      </c>
      <c r="M454">
        <v>4</v>
      </c>
      <c r="N454">
        <v>0.2</v>
      </c>
      <c r="O454">
        <v>-8.7799999999999994</v>
      </c>
    </row>
    <row r="455" spans="1:15" x14ac:dyDescent="0.3">
      <c r="A455" t="s">
        <v>468</v>
      </c>
      <c r="B455" t="s">
        <v>643</v>
      </c>
      <c r="C455" t="s">
        <v>1094</v>
      </c>
      <c r="D455" t="s">
        <v>1362</v>
      </c>
      <c r="E455" t="s">
        <v>1375</v>
      </c>
      <c r="F455" t="s">
        <v>1377</v>
      </c>
      <c r="G455" t="s">
        <v>1387</v>
      </c>
      <c r="H455" t="s">
        <v>1388</v>
      </c>
      <c r="I455" t="s">
        <v>1392</v>
      </c>
      <c r="J455" t="s">
        <v>1397</v>
      </c>
      <c r="K455" t="s">
        <v>1685</v>
      </c>
      <c r="L455">
        <v>94.6</v>
      </c>
      <c r="M455">
        <v>5</v>
      </c>
      <c r="N455">
        <v>0.1</v>
      </c>
      <c r="O455">
        <v>16.91</v>
      </c>
    </row>
    <row r="456" spans="1:15" x14ac:dyDescent="0.3">
      <c r="A456" t="s">
        <v>469</v>
      </c>
      <c r="B456" t="s">
        <v>932</v>
      </c>
      <c r="C456" t="s">
        <v>1138</v>
      </c>
      <c r="D456" t="s">
        <v>1361</v>
      </c>
      <c r="E456" t="s">
        <v>1374</v>
      </c>
      <c r="F456" t="s">
        <v>1379</v>
      </c>
      <c r="G456" t="s">
        <v>1385</v>
      </c>
      <c r="H456" t="s">
        <v>1389</v>
      </c>
      <c r="I456" t="s">
        <v>1394</v>
      </c>
      <c r="J456" t="s">
        <v>1402</v>
      </c>
      <c r="K456" t="s">
        <v>1686</v>
      </c>
      <c r="L456">
        <v>38.44</v>
      </c>
      <c r="M456">
        <v>8</v>
      </c>
      <c r="N456">
        <v>0</v>
      </c>
      <c r="O456">
        <v>-7.57</v>
      </c>
    </row>
    <row r="457" spans="1:15" x14ac:dyDescent="0.3">
      <c r="A457" t="s">
        <v>470</v>
      </c>
      <c r="B457" t="s">
        <v>933</v>
      </c>
      <c r="C457" t="s">
        <v>1330</v>
      </c>
      <c r="D457" t="s">
        <v>1364</v>
      </c>
      <c r="E457" t="s">
        <v>1375</v>
      </c>
      <c r="F457" t="s">
        <v>1378</v>
      </c>
      <c r="G457" t="s">
        <v>1382</v>
      </c>
      <c r="H457" t="s">
        <v>1389</v>
      </c>
      <c r="I457" t="s">
        <v>1392</v>
      </c>
      <c r="J457" t="s">
        <v>1395</v>
      </c>
      <c r="K457" t="s">
        <v>1520</v>
      </c>
      <c r="L457">
        <v>339.72</v>
      </c>
      <c r="M457">
        <v>8</v>
      </c>
      <c r="N457">
        <v>0.2</v>
      </c>
      <c r="O457">
        <v>-27.3</v>
      </c>
    </row>
    <row r="458" spans="1:15" x14ac:dyDescent="0.3">
      <c r="A458" t="s">
        <v>471</v>
      </c>
      <c r="B458" t="s">
        <v>934</v>
      </c>
      <c r="C458" t="s">
        <v>1203</v>
      </c>
      <c r="D458" t="s">
        <v>1361</v>
      </c>
      <c r="E458" t="s">
        <v>1376</v>
      </c>
      <c r="F458" t="s">
        <v>1378</v>
      </c>
      <c r="G458" t="s">
        <v>1385</v>
      </c>
      <c r="H458" t="s">
        <v>1390</v>
      </c>
      <c r="I458" t="s">
        <v>1394</v>
      </c>
      <c r="J458" t="s">
        <v>1403</v>
      </c>
      <c r="K458" t="s">
        <v>1450</v>
      </c>
      <c r="L458">
        <v>25.39</v>
      </c>
      <c r="M458">
        <v>4</v>
      </c>
      <c r="N458">
        <v>0.1</v>
      </c>
      <c r="O458">
        <v>-3.59</v>
      </c>
    </row>
    <row r="459" spans="1:15" x14ac:dyDescent="0.3">
      <c r="A459" t="s">
        <v>472</v>
      </c>
      <c r="B459" t="s">
        <v>771</v>
      </c>
      <c r="C459" t="s">
        <v>1325</v>
      </c>
      <c r="D459" t="s">
        <v>1369</v>
      </c>
      <c r="E459" t="s">
        <v>1374</v>
      </c>
      <c r="F459" t="s">
        <v>1379</v>
      </c>
      <c r="G459" t="s">
        <v>1384</v>
      </c>
      <c r="H459" t="s">
        <v>1390</v>
      </c>
      <c r="I459" t="s">
        <v>1392</v>
      </c>
      <c r="J459" t="s">
        <v>1401</v>
      </c>
      <c r="K459" t="s">
        <v>1619</v>
      </c>
      <c r="L459">
        <v>828.59</v>
      </c>
      <c r="M459">
        <v>8</v>
      </c>
      <c r="N459">
        <v>0.2</v>
      </c>
      <c r="O459">
        <v>-92.67</v>
      </c>
    </row>
    <row r="460" spans="1:15" x14ac:dyDescent="0.3">
      <c r="A460" t="s">
        <v>473</v>
      </c>
      <c r="B460" t="s">
        <v>935</v>
      </c>
      <c r="C460" t="s">
        <v>1331</v>
      </c>
      <c r="D460" t="s">
        <v>1365</v>
      </c>
      <c r="E460" t="s">
        <v>1375</v>
      </c>
      <c r="F460" t="s">
        <v>1380</v>
      </c>
      <c r="G460" t="s">
        <v>1387</v>
      </c>
      <c r="H460" t="s">
        <v>1389</v>
      </c>
      <c r="I460" t="s">
        <v>1393</v>
      </c>
      <c r="J460" t="s">
        <v>1399</v>
      </c>
      <c r="K460" t="s">
        <v>1548</v>
      </c>
      <c r="L460">
        <v>71.11</v>
      </c>
      <c r="M460">
        <v>1</v>
      </c>
      <c r="O460">
        <v>-7.97</v>
      </c>
    </row>
    <row r="461" spans="1:15" x14ac:dyDescent="0.3">
      <c r="A461" t="s">
        <v>474</v>
      </c>
      <c r="B461" t="s">
        <v>936</v>
      </c>
      <c r="C461" t="s">
        <v>1332</v>
      </c>
      <c r="D461" t="s">
        <v>1363</v>
      </c>
      <c r="E461" t="s">
        <v>1375</v>
      </c>
      <c r="F461" t="s">
        <v>1377</v>
      </c>
      <c r="G461" t="s">
        <v>1386</v>
      </c>
      <c r="H461" t="s">
        <v>1390</v>
      </c>
      <c r="I461" t="s">
        <v>1394</v>
      </c>
      <c r="J461" t="s">
        <v>1402</v>
      </c>
      <c r="K461" t="s">
        <v>1687</v>
      </c>
      <c r="L461">
        <v>901.56</v>
      </c>
      <c r="M461">
        <v>6</v>
      </c>
      <c r="N461">
        <v>0.1</v>
      </c>
      <c r="O461">
        <v>170.83</v>
      </c>
    </row>
    <row r="462" spans="1:15" x14ac:dyDescent="0.3">
      <c r="A462" t="s">
        <v>475</v>
      </c>
      <c r="B462" t="s">
        <v>937</v>
      </c>
      <c r="C462" t="s">
        <v>972</v>
      </c>
      <c r="D462" t="s">
        <v>1367</v>
      </c>
      <c r="E462" t="s">
        <v>1376</v>
      </c>
      <c r="F462" t="s">
        <v>1379</v>
      </c>
      <c r="G462" t="s">
        <v>1387</v>
      </c>
      <c r="H462" t="s">
        <v>1389</v>
      </c>
      <c r="I462" t="s">
        <v>1394</v>
      </c>
      <c r="J462" t="s">
        <v>1398</v>
      </c>
      <c r="K462" t="s">
        <v>1688</v>
      </c>
      <c r="L462">
        <v>591.6</v>
      </c>
      <c r="M462">
        <v>7</v>
      </c>
      <c r="N462">
        <v>0.1</v>
      </c>
      <c r="O462">
        <v>-54.38</v>
      </c>
    </row>
    <row r="463" spans="1:15" x14ac:dyDescent="0.3">
      <c r="A463" t="s">
        <v>476</v>
      </c>
      <c r="B463" t="s">
        <v>938</v>
      </c>
      <c r="C463" t="s">
        <v>1333</v>
      </c>
      <c r="D463" t="s">
        <v>1366</v>
      </c>
      <c r="E463" t="s">
        <v>1376</v>
      </c>
      <c r="F463" t="s">
        <v>1377</v>
      </c>
      <c r="G463" t="s">
        <v>1387</v>
      </c>
      <c r="H463" t="s">
        <v>1391</v>
      </c>
      <c r="I463" t="s">
        <v>1394</v>
      </c>
      <c r="J463" t="s">
        <v>1402</v>
      </c>
      <c r="K463" t="s">
        <v>1601</v>
      </c>
      <c r="L463">
        <v>416.35</v>
      </c>
      <c r="M463">
        <v>1</v>
      </c>
      <c r="O463">
        <v>-70.849999999999994</v>
      </c>
    </row>
    <row r="464" spans="1:15" x14ac:dyDescent="0.3">
      <c r="A464" t="s">
        <v>477</v>
      </c>
      <c r="B464" t="s">
        <v>939</v>
      </c>
      <c r="C464" t="s">
        <v>1334</v>
      </c>
      <c r="D464" t="s">
        <v>1366</v>
      </c>
      <c r="E464" t="s">
        <v>1374</v>
      </c>
      <c r="F464" t="s">
        <v>1377</v>
      </c>
      <c r="G464" t="s">
        <v>1386</v>
      </c>
      <c r="H464" t="s">
        <v>1390</v>
      </c>
      <c r="I464" t="s">
        <v>1392</v>
      </c>
      <c r="J464" t="s">
        <v>1395</v>
      </c>
      <c r="K464" t="s">
        <v>1689</v>
      </c>
      <c r="L464">
        <v>1144.26</v>
      </c>
      <c r="M464">
        <v>3</v>
      </c>
      <c r="O464">
        <v>326.19</v>
      </c>
    </row>
    <row r="465" spans="1:15" x14ac:dyDescent="0.3">
      <c r="A465" t="s">
        <v>478</v>
      </c>
      <c r="B465" t="s">
        <v>940</v>
      </c>
      <c r="C465" t="s">
        <v>1335</v>
      </c>
      <c r="D465" t="s">
        <v>1370</v>
      </c>
      <c r="E465" t="s">
        <v>1375</v>
      </c>
      <c r="F465" t="s">
        <v>1380</v>
      </c>
      <c r="G465" t="s">
        <v>1385</v>
      </c>
      <c r="H465" t="s">
        <v>1388</v>
      </c>
      <c r="I465" t="s">
        <v>1394</v>
      </c>
      <c r="J465" t="s">
        <v>1402</v>
      </c>
      <c r="K465" t="s">
        <v>1623</v>
      </c>
      <c r="L465">
        <v>881.42</v>
      </c>
      <c r="M465">
        <v>4</v>
      </c>
      <c r="N465">
        <v>0.1</v>
      </c>
      <c r="O465">
        <v>-32.04</v>
      </c>
    </row>
    <row r="466" spans="1:15" x14ac:dyDescent="0.3">
      <c r="A466" t="s">
        <v>479</v>
      </c>
      <c r="B466" t="s">
        <v>941</v>
      </c>
      <c r="C466" t="s">
        <v>1336</v>
      </c>
      <c r="D466" t="s">
        <v>1361</v>
      </c>
      <c r="E466" t="s">
        <v>1375</v>
      </c>
      <c r="F466" t="s">
        <v>1377</v>
      </c>
      <c r="G466" t="s">
        <v>1387</v>
      </c>
      <c r="H466" t="s">
        <v>1390</v>
      </c>
      <c r="I466" t="s">
        <v>1392</v>
      </c>
      <c r="J466" t="s">
        <v>1397</v>
      </c>
      <c r="K466" t="s">
        <v>1521</v>
      </c>
      <c r="L466">
        <v>646.72</v>
      </c>
      <c r="M466">
        <v>8</v>
      </c>
      <c r="N466">
        <v>0</v>
      </c>
      <c r="O466">
        <v>16.96</v>
      </c>
    </row>
    <row r="467" spans="1:15" x14ac:dyDescent="0.3">
      <c r="A467" t="s">
        <v>480</v>
      </c>
      <c r="B467" t="s">
        <v>805</v>
      </c>
      <c r="C467" t="s">
        <v>1337</v>
      </c>
      <c r="D467" t="s">
        <v>1359</v>
      </c>
      <c r="E467" t="s">
        <v>1376</v>
      </c>
      <c r="F467" t="s">
        <v>1377</v>
      </c>
      <c r="G467" t="s">
        <v>1386</v>
      </c>
      <c r="H467" t="s">
        <v>1390</v>
      </c>
      <c r="I467" t="s">
        <v>1393</v>
      </c>
      <c r="J467" t="s">
        <v>1400</v>
      </c>
      <c r="K467" t="s">
        <v>1678</v>
      </c>
      <c r="L467">
        <v>38.799999999999997</v>
      </c>
      <c r="M467">
        <v>5</v>
      </c>
      <c r="N467">
        <v>0.1</v>
      </c>
      <c r="O467">
        <v>5.88</v>
      </c>
    </row>
    <row r="468" spans="1:15" x14ac:dyDescent="0.3">
      <c r="A468" t="s">
        <v>481</v>
      </c>
      <c r="B468" t="s">
        <v>942</v>
      </c>
      <c r="C468" t="s">
        <v>1175</v>
      </c>
      <c r="D468" t="s">
        <v>1362</v>
      </c>
      <c r="E468" t="s">
        <v>1375</v>
      </c>
      <c r="F468" t="s">
        <v>1379</v>
      </c>
      <c r="G468" t="s">
        <v>1385</v>
      </c>
      <c r="H468" t="s">
        <v>1391</v>
      </c>
      <c r="I468" t="s">
        <v>1394</v>
      </c>
      <c r="J468" t="s">
        <v>1398</v>
      </c>
      <c r="K468" t="s">
        <v>1470</v>
      </c>
      <c r="L468">
        <v>567.87</v>
      </c>
      <c r="M468">
        <v>1</v>
      </c>
      <c r="N468">
        <v>0</v>
      </c>
      <c r="O468">
        <v>-4.29</v>
      </c>
    </row>
    <row r="469" spans="1:15" x14ac:dyDescent="0.3">
      <c r="A469" t="s">
        <v>482</v>
      </c>
      <c r="B469" t="s">
        <v>943</v>
      </c>
      <c r="C469" t="s">
        <v>1338</v>
      </c>
      <c r="D469" t="s">
        <v>1361</v>
      </c>
      <c r="E469" t="s">
        <v>1374</v>
      </c>
      <c r="F469" t="s">
        <v>1379</v>
      </c>
      <c r="G469" t="s">
        <v>1381</v>
      </c>
      <c r="H469" t="s">
        <v>1388</v>
      </c>
      <c r="I469" t="s">
        <v>1393</v>
      </c>
      <c r="J469" t="s">
        <v>1400</v>
      </c>
      <c r="K469" t="s">
        <v>1647</v>
      </c>
      <c r="L469">
        <v>949.48</v>
      </c>
      <c r="M469">
        <v>2</v>
      </c>
      <c r="O469">
        <v>228.28</v>
      </c>
    </row>
    <row r="470" spans="1:15" x14ac:dyDescent="0.3">
      <c r="A470" t="s">
        <v>483</v>
      </c>
      <c r="B470" t="s">
        <v>944</v>
      </c>
      <c r="C470" t="s">
        <v>1339</v>
      </c>
      <c r="D470" t="s">
        <v>1363</v>
      </c>
      <c r="E470" t="s">
        <v>1376</v>
      </c>
      <c r="F470" t="s">
        <v>1378</v>
      </c>
      <c r="G470" t="s">
        <v>1383</v>
      </c>
      <c r="H470" t="s">
        <v>1388</v>
      </c>
      <c r="I470" t="s">
        <v>1393</v>
      </c>
      <c r="J470" t="s">
        <v>1400</v>
      </c>
      <c r="K470" t="s">
        <v>1690</v>
      </c>
      <c r="L470">
        <v>451.37</v>
      </c>
      <c r="M470">
        <v>3</v>
      </c>
      <c r="O470">
        <v>68.81</v>
      </c>
    </row>
    <row r="471" spans="1:15" x14ac:dyDescent="0.3">
      <c r="A471" t="s">
        <v>484</v>
      </c>
      <c r="B471" t="s">
        <v>945</v>
      </c>
      <c r="C471" t="s">
        <v>1105</v>
      </c>
      <c r="D471" t="s">
        <v>1364</v>
      </c>
      <c r="E471" t="s">
        <v>1376</v>
      </c>
      <c r="F471" t="s">
        <v>1379</v>
      </c>
      <c r="G471" t="s">
        <v>1381</v>
      </c>
      <c r="H471" t="s">
        <v>1388</v>
      </c>
      <c r="I471" t="s">
        <v>1393</v>
      </c>
      <c r="J471" t="s">
        <v>1400</v>
      </c>
      <c r="K471" t="s">
        <v>1445</v>
      </c>
      <c r="L471">
        <v>908.74</v>
      </c>
      <c r="M471">
        <v>4</v>
      </c>
      <c r="N471">
        <v>0.15</v>
      </c>
      <c r="O471">
        <v>-21.49</v>
      </c>
    </row>
    <row r="472" spans="1:15" x14ac:dyDescent="0.3">
      <c r="A472" t="s">
        <v>485</v>
      </c>
      <c r="B472" t="s">
        <v>946</v>
      </c>
      <c r="C472" t="s">
        <v>1217</v>
      </c>
      <c r="D472" t="s">
        <v>1360</v>
      </c>
      <c r="E472" t="s">
        <v>1376</v>
      </c>
      <c r="F472" t="s">
        <v>1379</v>
      </c>
      <c r="G472" t="s">
        <v>1386</v>
      </c>
      <c r="H472" t="s">
        <v>1388</v>
      </c>
      <c r="I472" t="s">
        <v>1394</v>
      </c>
      <c r="J472" t="s">
        <v>1398</v>
      </c>
      <c r="K472" t="s">
        <v>1691</v>
      </c>
      <c r="L472">
        <v>641.49</v>
      </c>
      <c r="M472">
        <v>2</v>
      </c>
      <c r="N472">
        <v>0.2</v>
      </c>
      <c r="O472">
        <v>99.37</v>
      </c>
    </row>
    <row r="473" spans="1:15" x14ac:dyDescent="0.3">
      <c r="A473" t="s">
        <v>486</v>
      </c>
      <c r="B473" t="s">
        <v>879</v>
      </c>
      <c r="C473" t="s">
        <v>1045</v>
      </c>
      <c r="D473" t="s">
        <v>1361</v>
      </c>
      <c r="E473" t="s">
        <v>1375</v>
      </c>
      <c r="F473" t="s">
        <v>1377</v>
      </c>
      <c r="G473" t="s">
        <v>1387</v>
      </c>
      <c r="H473" t="s">
        <v>1390</v>
      </c>
      <c r="I473" t="s">
        <v>1392</v>
      </c>
      <c r="J473" t="s">
        <v>1397</v>
      </c>
      <c r="K473" t="s">
        <v>1488</v>
      </c>
      <c r="L473">
        <v>1079.58</v>
      </c>
      <c r="M473">
        <v>5</v>
      </c>
      <c r="N473">
        <v>0</v>
      </c>
      <c r="O473">
        <v>-156.88</v>
      </c>
    </row>
    <row r="474" spans="1:15" x14ac:dyDescent="0.3">
      <c r="A474" t="s">
        <v>487</v>
      </c>
      <c r="B474" t="s">
        <v>947</v>
      </c>
      <c r="C474" t="s">
        <v>1340</v>
      </c>
      <c r="D474" t="s">
        <v>1365</v>
      </c>
      <c r="E474" t="s">
        <v>1374</v>
      </c>
      <c r="F474" t="s">
        <v>1380</v>
      </c>
      <c r="G474" t="s">
        <v>1384</v>
      </c>
      <c r="H474" t="s">
        <v>1390</v>
      </c>
      <c r="I474" t="s">
        <v>1394</v>
      </c>
      <c r="J474" t="s">
        <v>1403</v>
      </c>
      <c r="K474" t="s">
        <v>1692</v>
      </c>
      <c r="L474">
        <v>1164.0999999999999</v>
      </c>
      <c r="M474">
        <v>9</v>
      </c>
      <c r="N474">
        <v>0.1</v>
      </c>
      <c r="O474">
        <v>43.02</v>
      </c>
    </row>
    <row r="475" spans="1:15" x14ac:dyDescent="0.3">
      <c r="A475" t="s">
        <v>488</v>
      </c>
      <c r="B475" t="s">
        <v>668</v>
      </c>
      <c r="C475" t="s">
        <v>1341</v>
      </c>
      <c r="D475" t="s">
        <v>1365</v>
      </c>
      <c r="E475" t="s">
        <v>1374</v>
      </c>
      <c r="F475" t="s">
        <v>1377</v>
      </c>
      <c r="G475" t="s">
        <v>1385</v>
      </c>
      <c r="H475" t="s">
        <v>1391</v>
      </c>
      <c r="I475" t="s">
        <v>1393</v>
      </c>
      <c r="J475" t="s">
        <v>1396</v>
      </c>
      <c r="K475" t="s">
        <v>1596</v>
      </c>
      <c r="L475">
        <v>416.34</v>
      </c>
      <c r="M475">
        <v>10</v>
      </c>
      <c r="N475">
        <v>0.15</v>
      </c>
      <c r="O475">
        <v>53.24</v>
      </c>
    </row>
    <row r="476" spans="1:15" x14ac:dyDescent="0.3">
      <c r="A476" t="s">
        <v>489</v>
      </c>
      <c r="B476" t="s">
        <v>691</v>
      </c>
      <c r="C476" t="s">
        <v>1342</v>
      </c>
      <c r="D476" t="s">
        <v>1368</v>
      </c>
      <c r="E476" t="s">
        <v>1376</v>
      </c>
      <c r="F476" t="s">
        <v>1377</v>
      </c>
      <c r="G476" t="s">
        <v>1387</v>
      </c>
      <c r="H476" t="s">
        <v>1390</v>
      </c>
      <c r="I476" t="s">
        <v>1392</v>
      </c>
      <c r="J476" t="s">
        <v>1397</v>
      </c>
      <c r="K476" t="s">
        <v>1508</v>
      </c>
      <c r="L476">
        <v>287.60000000000002</v>
      </c>
      <c r="M476">
        <v>6</v>
      </c>
      <c r="N476">
        <v>0.15</v>
      </c>
      <c r="O476">
        <v>53.17</v>
      </c>
    </row>
    <row r="477" spans="1:15" x14ac:dyDescent="0.3">
      <c r="A477" t="s">
        <v>490</v>
      </c>
      <c r="B477" t="s">
        <v>948</v>
      </c>
      <c r="C477" t="s">
        <v>1305</v>
      </c>
      <c r="D477" t="s">
        <v>1362</v>
      </c>
      <c r="E477" t="s">
        <v>1375</v>
      </c>
      <c r="F477" t="s">
        <v>1377</v>
      </c>
      <c r="G477" t="s">
        <v>1384</v>
      </c>
      <c r="H477" t="s">
        <v>1391</v>
      </c>
      <c r="I477" t="s">
        <v>1392</v>
      </c>
      <c r="J477" t="s">
        <v>1401</v>
      </c>
      <c r="K477" t="s">
        <v>1693</v>
      </c>
      <c r="L477">
        <v>1010.41</v>
      </c>
      <c r="M477">
        <v>3</v>
      </c>
      <c r="N477">
        <v>0.1</v>
      </c>
      <c r="O477">
        <v>-81.89</v>
      </c>
    </row>
    <row r="478" spans="1:15" x14ac:dyDescent="0.3">
      <c r="A478" t="s">
        <v>491</v>
      </c>
      <c r="B478" t="s">
        <v>949</v>
      </c>
      <c r="C478" t="s">
        <v>1343</v>
      </c>
      <c r="D478" t="s">
        <v>1370</v>
      </c>
      <c r="E478" t="s">
        <v>1376</v>
      </c>
      <c r="F478" t="s">
        <v>1380</v>
      </c>
      <c r="G478" t="s">
        <v>1381</v>
      </c>
      <c r="H478" t="s">
        <v>1389</v>
      </c>
      <c r="I478" t="s">
        <v>1393</v>
      </c>
      <c r="J478" t="s">
        <v>1400</v>
      </c>
      <c r="K478" t="s">
        <v>1694</v>
      </c>
      <c r="L478">
        <v>805.35</v>
      </c>
      <c r="M478">
        <v>6</v>
      </c>
      <c r="N478">
        <v>0.1</v>
      </c>
      <c r="O478">
        <v>-10.91</v>
      </c>
    </row>
    <row r="479" spans="1:15" x14ac:dyDescent="0.3">
      <c r="A479" t="s">
        <v>492</v>
      </c>
      <c r="B479" t="s">
        <v>950</v>
      </c>
      <c r="C479" t="s">
        <v>1128</v>
      </c>
      <c r="D479" t="s">
        <v>1372</v>
      </c>
      <c r="E479" t="s">
        <v>1376</v>
      </c>
      <c r="F479" t="s">
        <v>1378</v>
      </c>
      <c r="G479" t="s">
        <v>1386</v>
      </c>
      <c r="H479" t="s">
        <v>1389</v>
      </c>
      <c r="I479" t="s">
        <v>1394</v>
      </c>
      <c r="J479" t="s">
        <v>1403</v>
      </c>
      <c r="K479" t="s">
        <v>1438</v>
      </c>
      <c r="L479">
        <v>204.14</v>
      </c>
      <c r="M479">
        <v>9</v>
      </c>
      <c r="O479">
        <v>-7.01</v>
      </c>
    </row>
    <row r="480" spans="1:15" x14ac:dyDescent="0.3">
      <c r="A480" t="s">
        <v>493</v>
      </c>
      <c r="B480" t="s">
        <v>951</v>
      </c>
      <c r="C480" t="s">
        <v>1344</v>
      </c>
      <c r="D480" t="s">
        <v>1365</v>
      </c>
      <c r="E480" t="s">
        <v>1375</v>
      </c>
      <c r="F480" t="s">
        <v>1377</v>
      </c>
      <c r="G480" t="s">
        <v>1384</v>
      </c>
      <c r="H480" t="s">
        <v>1388</v>
      </c>
      <c r="I480" t="s">
        <v>1393</v>
      </c>
      <c r="J480" t="s">
        <v>1399</v>
      </c>
      <c r="K480" t="s">
        <v>1695</v>
      </c>
      <c r="L480">
        <v>1082.21</v>
      </c>
      <c r="M480">
        <v>3</v>
      </c>
      <c r="O480">
        <v>-153.19999999999999</v>
      </c>
    </row>
    <row r="481" spans="1:15" x14ac:dyDescent="0.3">
      <c r="A481" t="s">
        <v>494</v>
      </c>
      <c r="B481" t="s">
        <v>891</v>
      </c>
      <c r="C481" t="s">
        <v>1345</v>
      </c>
      <c r="D481" t="s">
        <v>1360</v>
      </c>
      <c r="E481" t="s">
        <v>1374</v>
      </c>
      <c r="F481" t="s">
        <v>1380</v>
      </c>
      <c r="G481" t="s">
        <v>1383</v>
      </c>
      <c r="H481" t="s">
        <v>1389</v>
      </c>
      <c r="I481" t="s">
        <v>1393</v>
      </c>
      <c r="J481" t="s">
        <v>1400</v>
      </c>
      <c r="K481" t="s">
        <v>1696</v>
      </c>
      <c r="L481">
        <v>708.45</v>
      </c>
      <c r="M481">
        <v>4</v>
      </c>
      <c r="N481">
        <v>0.15</v>
      </c>
      <c r="O481">
        <v>-72.36</v>
      </c>
    </row>
    <row r="482" spans="1:15" x14ac:dyDescent="0.3">
      <c r="A482" t="s">
        <v>495</v>
      </c>
      <c r="B482" t="s">
        <v>689</v>
      </c>
      <c r="C482" t="s">
        <v>1346</v>
      </c>
      <c r="D482" t="s">
        <v>1373</v>
      </c>
      <c r="E482" t="s">
        <v>1376</v>
      </c>
      <c r="F482" t="s">
        <v>1379</v>
      </c>
      <c r="G482" t="s">
        <v>1381</v>
      </c>
      <c r="H482" t="s">
        <v>1391</v>
      </c>
      <c r="I482" t="s">
        <v>1393</v>
      </c>
      <c r="J482" t="s">
        <v>1396</v>
      </c>
      <c r="K482" t="s">
        <v>1563</v>
      </c>
      <c r="L482">
        <v>623.64</v>
      </c>
      <c r="M482">
        <v>1</v>
      </c>
      <c r="N482">
        <v>0.15</v>
      </c>
      <c r="O482">
        <v>-0.76</v>
      </c>
    </row>
    <row r="483" spans="1:15" x14ac:dyDescent="0.3">
      <c r="A483" t="s">
        <v>496</v>
      </c>
      <c r="B483" t="s">
        <v>952</v>
      </c>
      <c r="C483" t="s">
        <v>1347</v>
      </c>
      <c r="D483" t="s">
        <v>1370</v>
      </c>
      <c r="E483" t="s">
        <v>1376</v>
      </c>
      <c r="F483" t="s">
        <v>1377</v>
      </c>
      <c r="G483" t="s">
        <v>1387</v>
      </c>
      <c r="H483" t="s">
        <v>1388</v>
      </c>
      <c r="I483" t="s">
        <v>1394</v>
      </c>
      <c r="J483" t="s">
        <v>1398</v>
      </c>
      <c r="K483" t="s">
        <v>1590</v>
      </c>
      <c r="L483">
        <v>123.37</v>
      </c>
      <c r="M483">
        <v>8</v>
      </c>
      <c r="N483">
        <v>0.2</v>
      </c>
      <c r="O483">
        <v>24.9</v>
      </c>
    </row>
    <row r="484" spans="1:15" x14ac:dyDescent="0.3">
      <c r="A484" t="s">
        <v>497</v>
      </c>
      <c r="B484" t="s">
        <v>953</v>
      </c>
      <c r="C484" t="s">
        <v>1348</v>
      </c>
      <c r="D484" t="s">
        <v>1366</v>
      </c>
      <c r="E484" t="s">
        <v>1374</v>
      </c>
      <c r="F484" t="s">
        <v>1379</v>
      </c>
      <c r="G484" t="s">
        <v>1385</v>
      </c>
      <c r="H484" t="s">
        <v>1390</v>
      </c>
      <c r="I484" t="s">
        <v>1394</v>
      </c>
      <c r="J484" t="s">
        <v>1398</v>
      </c>
      <c r="K484" t="s">
        <v>1697</v>
      </c>
      <c r="L484">
        <v>1184.23</v>
      </c>
      <c r="M484">
        <v>2</v>
      </c>
      <c r="O484">
        <v>210.86</v>
      </c>
    </row>
    <row r="485" spans="1:15" x14ac:dyDescent="0.3">
      <c r="A485" t="s">
        <v>498</v>
      </c>
      <c r="B485" t="s">
        <v>954</v>
      </c>
      <c r="C485" t="s">
        <v>1302</v>
      </c>
      <c r="D485" t="s">
        <v>1362</v>
      </c>
      <c r="E485" t="s">
        <v>1376</v>
      </c>
      <c r="F485" t="s">
        <v>1377</v>
      </c>
      <c r="G485" t="s">
        <v>1383</v>
      </c>
      <c r="H485" t="s">
        <v>1389</v>
      </c>
      <c r="I485" t="s">
        <v>1392</v>
      </c>
      <c r="J485" t="s">
        <v>1401</v>
      </c>
      <c r="K485" t="s">
        <v>1698</v>
      </c>
      <c r="L485">
        <v>239.49</v>
      </c>
      <c r="M485">
        <v>7</v>
      </c>
      <c r="N485">
        <v>0.15</v>
      </c>
      <c r="O485">
        <v>18.420000000000002</v>
      </c>
    </row>
    <row r="486" spans="1:15" x14ac:dyDescent="0.3">
      <c r="A486" t="s">
        <v>499</v>
      </c>
      <c r="B486" t="s">
        <v>955</v>
      </c>
      <c r="C486" t="s">
        <v>1171</v>
      </c>
      <c r="D486" t="s">
        <v>1367</v>
      </c>
      <c r="E486" t="s">
        <v>1376</v>
      </c>
      <c r="F486" t="s">
        <v>1378</v>
      </c>
      <c r="G486" t="s">
        <v>1381</v>
      </c>
      <c r="H486" t="s">
        <v>1388</v>
      </c>
      <c r="I486" t="s">
        <v>1392</v>
      </c>
      <c r="J486" t="s">
        <v>1397</v>
      </c>
      <c r="K486" t="s">
        <v>1460</v>
      </c>
      <c r="L486">
        <v>374.2</v>
      </c>
      <c r="M486">
        <v>8</v>
      </c>
      <c r="N486">
        <v>0</v>
      </c>
      <c r="O486">
        <v>47.49</v>
      </c>
    </row>
    <row r="487" spans="1:15" x14ac:dyDescent="0.3">
      <c r="A487" t="s">
        <v>500</v>
      </c>
      <c r="B487" t="s">
        <v>956</v>
      </c>
      <c r="C487" t="s">
        <v>1349</v>
      </c>
      <c r="D487" t="s">
        <v>1365</v>
      </c>
      <c r="E487" t="s">
        <v>1375</v>
      </c>
      <c r="F487" t="s">
        <v>1379</v>
      </c>
      <c r="G487" t="s">
        <v>1383</v>
      </c>
      <c r="H487" t="s">
        <v>1388</v>
      </c>
      <c r="I487" t="s">
        <v>1392</v>
      </c>
      <c r="J487" t="s">
        <v>1395</v>
      </c>
      <c r="K487" t="s">
        <v>1660</v>
      </c>
      <c r="L487">
        <v>899.77</v>
      </c>
      <c r="M487">
        <v>10</v>
      </c>
      <c r="N487">
        <v>0.2</v>
      </c>
      <c r="O487">
        <v>74.489999999999995</v>
      </c>
    </row>
    <row r="488" spans="1:15" x14ac:dyDescent="0.3">
      <c r="A488" t="s">
        <v>501</v>
      </c>
      <c r="B488" t="s">
        <v>957</v>
      </c>
      <c r="C488" t="s">
        <v>1350</v>
      </c>
      <c r="D488" t="s">
        <v>1372</v>
      </c>
      <c r="E488" t="s">
        <v>1374</v>
      </c>
      <c r="F488" t="s">
        <v>1379</v>
      </c>
      <c r="G488" t="s">
        <v>1381</v>
      </c>
      <c r="H488" t="s">
        <v>1391</v>
      </c>
      <c r="I488" t="s">
        <v>1392</v>
      </c>
      <c r="J488" t="s">
        <v>1401</v>
      </c>
      <c r="K488" t="s">
        <v>1699</v>
      </c>
      <c r="L488">
        <v>397.22</v>
      </c>
      <c r="M488">
        <v>3</v>
      </c>
      <c r="N488">
        <v>0.15</v>
      </c>
      <c r="O488">
        <v>-47.01</v>
      </c>
    </row>
    <row r="489" spans="1:15" x14ac:dyDescent="0.3">
      <c r="A489" t="s">
        <v>502</v>
      </c>
      <c r="B489" t="s">
        <v>958</v>
      </c>
      <c r="C489" t="s">
        <v>1351</v>
      </c>
      <c r="D489" t="s">
        <v>1360</v>
      </c>
      <c r="E489" t="s">
        <v>1376</v>
      </c>
      <c r="F489" t="s">
        <v>1379</v>
      </c>
      <c r="G489" t="s">
        <v>1384</v>
      </c>
      <c r="H489" t="s">
        <v>1391</v>
      </c>
      <c r="I489" t="s">
        <v>1393</v>
      </c>
      <c r="J489" t="s">
        <v>1400</v>
      </c>
      <c r="K489" t="s">
        <v>1700</v>
      </c>
      <c r="L489">
        <v>924.4</v>
      </c>
      <c r="M489">
        <v>3</v>
      </c>
      <c r="N489">
        <v>0</v>
      </c>
      <c r="O489">
        <v>91.87</v>
      </c>
    </row>
    <row r="490" spans="1:15" x14ac:dyDescent="0.3">
      <c r="A490" t="s">
        <v>503</v>
      </c>
      <c r="B490" t="s">
        <v>959</v>
      </c>
      <c r="C490" t="s">
        <v>1352</v>
      </c>
      <c r="D490" t="s">
        <v>1373</v>
      </c>
      <c r="E490" t="s">
        <v>1375</v>
      </c>
      <c r="F490" t="s">
        <v>1380</v>
      </c>
      <c r="G490" t="s">
        <v>1387</v>
      </c>
      <c r="H490" t="s">
        <v>1390</v>
      </c>
      <c r="I490" t="s">
        <v>1394</v>
      </c>
      <c r="J490" t="s">
        <v>1402</v>
      </c>
      <c r="K490" t="s">
        <v>1426</v>
      </c>
      <c r="L490">
        <v>35.22</v>
      </c>
      <c r="M490">
        <v>9</v>
      </c>
      <c r="N490">
        <v>0.15</v>
      </c>
      <c r="O490">
        <v>-0.48</v>
      </c>
    </row>
    <row r="491" spans="1:15" x14ac:dyDescent="0.3">
      <c r="A491" t="s">
        <v>504</v>
      </c>
      <c r="B491" t="s">
        <v>960</v>
      </c>
      <c r="C491" t="s">
        <v>1353</v>
      </c>
      <c r="D491" t="s">
        <v>1366</v>
      </c>
      <c r="E491" t="s">
        <v>1376</v>
      </c>
      <c r="F491" t="s">
        <v>1380</v>
      </c>
      <c r="G491" t="s">
        <v>1381</v>
      </c>
      <c r="H491" t="s">
        <v>1390</v>
      </c>
      <c r="I491" t="s">
        <v>1393</v>
      </c>
      <c r="J491" t="s">
        <v>1396</v>
      </c>
      <c r="K491" t="s">
        <v>1587</v>
      </c>
      <c r="L491">
        <v>833.79</v>
      </c>
      <c r="M491">
        <v>9</v>
      </c>
      <c r="O491">
        <v>130.30000000000001</v>
      </c>
    </row>
    <row r="492" spans="1:15" x14ac:dyDescent="0.3">
      <c r="A492" t="s">
        <v>505</v>
      </c>
      <c r="B492" t="s">
        <v>961</v>
      </c>
      <c r="C492" t="s">
        <v>1354</v>
      </c>
      <c r="D492" t="s">
        <v>1370</v>
      </c>
      <c r="E492" t="s">
        <v>1376</v>
      </c>
      <c r="F492" t="s">
        <v>1380</v>
      </c>
      <c r="G492" t="s">
        <v>1382</v>
      </c>
      <c r="H492" t="s">
        <v>1388</v>
      </c>
      <c r="I492" t="s">
        <v>1394</v>
      </c>
      <c r="J492" t="s">
        <v>1398</v>
      </c>
      <c r="K492" t="s">
        <v>1627</v>
      </c>
      <c r="L492">
        <v>447.83</v>
      </c>
      <c r="M492">
        <v>8</v>
      </c>
      <c r="O492">
        <v>27.57</v>
      </c>
    </row>
    <row r="493" spans="1:15" x14ac:dyDescent="0.3">
      <c r="A493" t="s">
        <v>506</v>
      </c>
      <c r="B493" t="s">
        <v>962</v>
      </c>
      <c r="C493" t="s">
        <v>1355</v>
      </c>
      <c r="D493" t="s">
        <v>1369</v>
      </c>
      <c r="E493" t="s">
        <v>1375</v>
      </c>
      <c r="F493" t="s">
        <v>1377</v>
      </c>
      <c r="G493" t="s">
        <v>1386</v>
      </c>
      <c r="H493" t="s">
        <v>1389</v>
      </c>
      <c r="I493" t="s">
        <v>1393</v>
      </c>
      <c r="J493" t="s">
        <v>1400</v>
      </c>
      <c r="K493" t="s">
        <v>1503</v>
      </c>
      <c r="L493">
        <v>382.77</v>
      </c>
      <c r="M493">
        <v>4</v>
      </c>
      <c r="N493">
        <v>0.1</v>
      </c>
      <c r="O493">
        <v>111.22</v>
      </c>
    </row>
    <row r="494" spans="1:15" x14ac:dyDescent="0.3">
      <c r="A494" t="s">
        <v>507</v>
      </c>
      <c r="B494" t="s">
        <v>963</v>
      </c>
      <c r="C494" t="s">
        <v>1356</v>
      </c>
      <c r="D494" t="s">
        <v>1369</v>
      </c>
      <c r="E494" t="s">
        <v>1376</v>
      </c>
      <c r="F494" t="s">
        <v>1380</v>
      </c>
      <c r="G494" t="s">
        <v>1386</v>
      </c>
      <c r="H494" t="s">
        <v>1388</v>
      </c>
      <c r="I494" t="s">
        <v>1392</v>
      </c>
      <c r="J494" t="s">
        <v>1395</v>
      </c>
      <c r="K494" t="s">
        <v>1701</v>
      </c>
      <c r="L494">
        <v>625.91</v>
      </c>
      <c r="M494">
        <v>1</v>
      </c>
      <c r="N494">
        <v>0.2</v>
      </c>
      <c r="O494">
        <v>-87.96</v>
      </c>
    </row>
    <row r="495" spans="1:15" x14ac:dyDescent="0.3">
      <c r="A495" t="s">
        <v>508</v>
      </c>
      <c r="B495" t="s">
        <v>964</v>
      </c>
      <c r="C495" t="s">
        <v>1357</v>
      </c>
      <c r="D495" t="s">
        <v>1362</v>
      </c>
      <c r="E495" t="s">
        <v>1376</v>
      </c>
      <c r="F495" t="s">
        <v>1379</v>
      </c>
      <c r="G495" t="s">
        <v>1387</v>
      </c>
      <c r="H495" t="s">
        <v>1390</v>
      </c>
      <c r="I495" t="s">
        <v>1393</v>
      </c>
      <c r="J495" t="s">
        <v>1400</v>
      </c>
      <c r="K495" t="s">
        <v>1463</v>
      </c>
      <c r="L495">
        <v>238.04</v>
      </c>
      <c r="M495">
        <v>6</v>
      </c>
      <c r="N495">
        <v>0</v>
      </c>
      <c r="O495">
        <v>-36.799999999999997</v>
      </c>
    </row>
    <row r="496" spans="1:15" x14ac:dyDescent="0.3">
      <c r="A496" t="s">
        <v>509</v>
      </c>
      <c r="B496" t="s">
        <v>965</v>
      </c>
      <c r="C496" t="s">
        <v>1110</v>
      </c>
      <c r="D496" t="s">
        <v>1370</v>
      </c>
      <c r="E496" t="s">
        <v>1375</v>
      </c>
      <c r="F496" t="s">
        <v>1380</v>
      </c>
      <c r="G496" t="s">
        <v>1387</v>
      </c>
      <c r="H496" t="s">
        <v>1389</v>
      </c>
      <c r="I496" t="s">
        <v>1392</v>
      </c>
      <c r="J496" t="s">
        <v>1395</v>
      </c>
      <c r="K496" t="s">
        <v>1410</v>
      </c>
      <c r="L496">
        <v>920.63</v>
      </c>
      <c r="M496">
        <v>9</v>
      </c>
      <c r="N496">
        <v>0.1</v>
      </c>
      <c r="O496">
        <v>145.37</v>
      </c>
    </row>
    <row r="497" spans="1:15" x14ac:dyDescent="0.3">
      <c r="A497" t="s">
        <v>510</v>
      </c>
      <c r="B497" t="s">
        <v>966</v>
      </c>
      <c r="C497" t="s">
        <v>1358</v>
      </c>
      <c r="D497" t="s">
        <v>1367</v>
      </c>
      <c r="E497" t="s">
        <v>1374</v>
      </c>
      <c r="F497" t="s">
        <v>1378</v>
      </c>
      <c r="G497" t="s">
        <v>1385</v>
      </c>
      <c r="H497" t="s">
        <v>1388</v>
      </c>
      <c r="I497" t="s">
        <v>1392</v>
      </c>
      <c r="J497" t="s">
        <v>1397</v>
      </c>
      <c r="K497" t="s">
        <v>1460</v>
      </c>
      <c r="L497">
        <v>814.76</v>
      </c>
      <c r="M497">
        <v>2</v>
      </c>
      <c r="N497">
        <v>0.1</v>
      </c>
      <c r="O497">
        <v>177.11</v>
      </c>
    </row>
    <row r="498" spans="1:15" x14ac:dyDescent="0.3">
      <c r="A498" t="s">
        <v>511</v>
      </c>
      <c r="B498" t="s">
        <v>967</v>
      </c>
      <c r="C498" t="s">
        <v>1000</v>
      </c>
      <c r="D498" t="s">
        <v>1369</v>
      </c>
      <c r="E498" t="s">
        <v>1376</v>
      </c>
      <c r="F498" t="s">
        <v>1377</v>
      </c>
      <c r="G498" t="s">
        <v>1381</v>
      </c>
      <c r="H498" t="s">
        <v>1389</v>
      </c>
      <c r="I498" t="s">
        <v>1394</v>
      </c>
      <c r="J498" t="s">
        <v>1402</v>
      </c>
      <c r="K498" t="s">
        <v>1529</v>
      </c>
      <c r="L498">
        <v>633.28</v>
      </c>
      <c r="M498">
        <v>8</v>
      </c>
      <c r="N498">
        <v>0.15</v>
      </c>
      <c r="O498">
        <v>96.49</v>
      </c>
    </row>
    <row r="499" spans="1:15" x14ac:dyDescent="0.3">
      <c r="A499" t="s">
        <v>512</v>
      </c>
      <c r="B499" t="s">
        <v>968</v>
      </c>
      <c r="C499" t="s">
        <v>1282</v>
      </c>
      <c r="D499" t="s">
        <v>1367</v>
      </c>
      <c r="E499" t="s">
        <v>1375</v>
      </c>
      <c r="F499" t="s">
        <v>1377</v>
      </c>
      <c r="G499" t="s">
        <v>1382</v>
      </c>
      <c r="H499" t="s">
        <v>1391</v>
      </c>
      <c r="I499" t="s">
        <v>1393</v>
      </c>
      <c r="J499" t="s">
        <v>1399</v>
      </c>
      <c r="K499" t="s">
        <v>1588</v>
      </c>
      <c r="L499">
        <v>830.71</v>
      </c>
      <c r="M499">
        <v>8</v>
      </c>
      <c r="N499">
        <v>0.1</v>
      </c>
      <c r="O499">
        <v>63.93</v>
      </c>
    </row>
    <row r="500" spans="1:15" x14ac:dyDescent="0.3">
      <c r="A500" t="s">
        <v>513</v>
      </c>
      <c r="B500" t="s">
        <v>969</v>
      </c>
      <c r="C500" t="s">
        <v>1049</v>
      </c>
      <c r="D500" t="s">
        <v>1365</v>
      </c>
      <c r="E500" t="s">
        <v>1374</v>
      </c>
      <c r="F500" t="s">
        <v>1380</v>
      </c>
      <c r="G500" t="s">
        <v>1382</v>
      </c>
      <c r="H500" t="s">
        <v>1390</v>
      </c>
      <c r="I500" t="s">
        <v>1393</v>
      </c>
      <c r="J500" t="s">
        <v>1400</v>
      </c>
      <c r="K500" t="s">
        <v>1702</v>
      </c>
      <c r="L500">
        <v>487.72</v>
      </c>
      <c r="M500">
        <v>9</v>
      </c>
      <c r="N500">
        <v>0</v>
      </c>
      <c r="O500">
        <v>-68.47</v>
      </c>
    </row>
    <row r="501" spans="1:15" x14ac:dyDescent="0.3">
      <c r="A501" t="s">
        <v>514</v>
      </c>
      <c r="B501" t="s">
        <v>970</v>
      </c>
      <c r="C501" t="s">
        <v>1202</v>
      </c>
      <c r="D501" t="s">
        <v>1373</v>
      </c>
      <c r="E501" t="s">
        <v>1374</v>
      </c>
      <c r="F501" t="s">
        <v>1379</v>
      </c>
      <c r="G501" t="s">
        <v>1386</v>
      </c>
      <c r="H501" t="s">
        <v>1389</v>
      </c>
      <c r="I501" t="s">
        <v>1394</v>
      </c>
      <c r="J501" t="s">
        <v>1402</v>
      </c>
      <c r="K501" t="s">
        <v>1449</v>
      </c>
      <c r="L501">
        <v>722.05</v>
      </c>
      <c r="M501">
        <v>7</v>
      </c>
      <c r="N501">
        <v>0</v>
      </c>
      <c r="O501">
        <v>-60.34</v>
      </c>
    </row>
    <row r="502" spans="1:15" x14ac:dyDescent="0.3">
      <c r="A502" t="s">
        <v>319</v>
      </c>
      <c r="B502" t="s">
        <v>788</v>
      </c>
      <c r="C502" t="s">
        <v>1230</v>
      </c>
      <c r="D502" t="s">
        <v>1359</v>
      </c>
      <c r="E502" t="s">
        <v>1374</v>
      </c>
      <c r="F502" t="s">
        <v>1380</v>
      </c>
      <c r="G502" t="s">
        <v>1384</v>
      </c>
      <c r="H502" t="s">
        <v>1388</v>
      </c>
      <c r="I502" t="s">
        <v>1394</v>
      </c>
      <c r="J502" t="s">
        <v>1398</v>
      </c>
      <c r="K502" t="s">
        <v>1492</v>
      </c>
      <c r="L502">
        <v>159.6</v>
      </c>
      <c r="M502">
        <v>1</v>
      </c>
      <c r="O502">
        <v>-26.87</v>
      </c>
    </row>
    <row r="503" spans="1:15" x14ac:dyDescent="0.3">
      <c r="A503" t="s">
        <v>355</v>
      </c>
      <c r="B503" t="s">
        <v>837</v>
      </c>
      <c r="C503" t="s">
        <v>989</v>
      </c>
      <c r="D503" t="s">
        <v>1372</v>
      </c>
      <c r="E503" t="s">
        <v>1374</v>
      </c>
      <c r="F503" t="s">
        <v>1379</v>
      </c>
      <c r="G503" t="s">
        <v>1387</v>
      </c>
      <c r="H503" t="s">
        <v>1391</v>
      </c>
      <c r="I503" t="s">
        <v>1394</v>
      </c>
      <c r="J503" t="s">
        <v>1403</v>
      </c>
      <c r="K503" t="s">
        <v>1636</v>
      </c>
      <c r="L503">
        <v>833.27</v>
      </c>
      <c r="M503">
        <v>1</v>
      </c>
      <c r="N503">
        <v>0.1</v>
      </c>
      <c r="O503">
        <v>-8.57</v>
      </c>
    </row>
    <row r="504" spans="1:15" x14ac:dyDescent="0.3">
      <c r="A504" t="s">
        <v>62</v>
      </c>
      <c r="B504" t="s">
        <v>562</v>
      </c>
      <c r="C504" t="s">
        <v>1016</v>
      </c>
      <c r="D504" t="s">
        <v>1373</v>
      </c>
      <c r="E504" t="s">
        <v>1374</v>
      </c>
      <c r="F504" t="s">
        <v>1378</v>
      </c>
      <c r="G504" t="s">
        <v>1382</v>
      </c>
      <c r="H504" t="s">
        <v>1389</v>
      </c>
      <c r="I504" t="s">
        <v>1393</v>
      </c>
      <c r="J504" t="s">
        <v>1399</v>
      </c>
      <c r="K504" t="s">
        <v>1448</v>
      </c>
      <c r="L504">
        <v>675.83</v>
      </c>
      <c r="M504">
        <v>9</v>
      </c>
      <c r="N504">
        <v>0.1</v>
      </c>
      <c r="O504">
        <v>-106.24</v>
      </c>
    </row>
    <row r="505" spans="1:15" x14ac:dyDescent="0.3">
      <c r="A505" t="s">
        <v>82</v>
      </c>
      <c r="B505" t="s">
        <v>582</v>
      </c>
      <c r="C505" t="s">
        <v>1033</v>
      </c>
      <c r="D505" t="s">
        <v>1362</v>
      </c>
      <c r="E505" t="s">
        <v>1374</v>
      </c>
      <c r="F505" t="s">
        <v>1377</v>
      </c>
      <c r="G505" t="s">
        <v>1382</v>
      </c>
      <c r="H505" t="s">
        <v>1388</v>
      </c>
      <c r="I505" t="s">
        <v>1392</v>
      </c>
      <c r="J505" t="s">
        <v>1395</v>
      </c>
      <c r="K505" t="s">
        <v>1466</v>
      </c>
      <c r="L505">
        <v>190.1</v>
      </c>
      <c r="M505">
        <v>3</v>
      </c>
      <c r="N505">
        <v>0</v>
      </c>
      <c r="O505">
        <v>6.61</v>
      </c>
    </row>
    <row r="506" spans="1:15" x14ac:dyDescent="0.3">
      <c r="A506" t="s">
        <v>494</v>
      </c>
      <c r="B506" t="s">
        <v>891</v>
      </c>
      <c r="C506" t="s">
        <v>1345</v>
      </c>
      <c r="D506" t="s">
        <v>1360</v>
      </c>
      <c r="E506" t="s">
        <v>1374</v>
      </c>
      <c r="F506" t="s">
        <v>1380</v>
      </c>
      <c r="G506" t="s">
        <v>1383</v>
      </c>
      <c r="H506" t="s">
        <v>1389</v>
      </c>
      <c r="I506" t="s">
        <v>1393</v>
      </c>
      <c r="J506" t="s">
        <v>1400</v>
      </c>
      <c r="K506" t="s">
        <v>1696</v>
      </c>
      <c r="L506">
        <v>708.45</v>
      </c>
      <c r="M506">
        <v>4</v>
      </c>
      <c r="N506">
        <v>0.15</v>
      </c>
      <c r="O506">
        <v>-72.36</v>
      </c>
    </row>
    <row r="507" spans="1:15" x14ac:dyDescent="0.3">
      <c r="A507" t="s">
        <v>500</v>
      </c>
      <c r="B507" t="s">
        <v>956</v>
      </c>
      <c r="C507" t="s">
        <v>1349</v>
      </c>
      <c r="D507" t="s">
        <v>1365</v>
      </c>
      <c r="E507" t="s">
        <v>1375</v>
      </c>
      <c r="F507" t="s">
        <v>1379</v>
      </c>
      <c r="G507" t="s">
        <v>1383</v>
      </c>
      <c r="H507" t="s">
        <v>1388</v>
      </c>
      <c r="I507" t="s">
        <v>1392</v>
      </c>
      <c r="J507" t="s">
        <v>1395</v>
      </c>
      <c r="K507" t="s">
        <v>1660</v>
      </c>
      <c r="L507">
        <v>899.77</v>
      </c>
      <c r="M507">
        <v>10</v>
      </c>
      <c r="N507">
        <v>0.2</v>
      </c>
      <c r="O507">
        <v>74.489999999999995</v>
      </c>
    </row>
    <row r="508" spans="1:15" x14ac:dyDescent="0.3">
      <c r="A508" t="s">
        <v>325</v>
      </c>
      <c r="B508" t="s">
        <v>809</v>
      </c>
      <c r="C508" t="s">
        <v>1235</v>
      </c>
      <c r="D508" t="s">
        <v>1363</v>
      </c>
      <c r="E508" t="s">
        <v>1374</v>
      </c>
      <c r="F508" t="s">
        <v>1377</v>
      </c>
      <c r="G508" t="s">
        <v>1384</v>
      </c>
      <c r="H508" t="s">
        <v>1391</v>
      </c>
      <c r="I508" t="s">
        <v>1393</v>
      </c>
      <c r="J508" t="s">
        <v>1396</v>
      </c>
      <c r="K508" t="s">
        <v>1598</v>
      </c>
      <c r="L508">
        <v>450.1</v>
      </c>
      <c r="M508">
        <v>6</v>
      </c>
      <c r="N508">
        <v>0.2</v>
      </c>
      <c r="O508">
        <v>-52.07</v>
      </c>
    </row>
    <row r="509" spans="1:15" x14ac:dyDescent="0.3">
      <c r="A509" t="s">
        <v>46</v>
      </c>
      <c r="B509" t="s">
        <v>546</v>
      </c>
      <c r="C509" t="s">
        <v>1001</v>
      </c>
      <c r="D509" t="s">
        <v>1365</v>
      </c>
      <c r="E509" t="s">
        <v>1374</v>
      </c>
      <c r="F509" t="s">
        <v>1379</v>
      </c>
      <c r="G509" t="s">
        <v>1385</v>
      </c>
      <c r="H509" t="s">
        <v>1389</v>
      </c>
      <c r="I509" t="s">
        <v>1393</v>
      </c>
      <c r="J509" t="s">
        <v>1396</v>
      </c>
      <c r="K509" t="s">
        <v>1434</v>
      </c>
      <c r="L509">
        <v>375.12</v>
      </c>
      <c r="M509">
        <v>9</v>
      </c>
      <c r="N509">
        <v>0</v>
      </c>
      <c r="O509">
        <v>-18.03</v>
      </c>
    </row>
    <row r="510" spans="1:15" x14ac:dyDescent="0.3">
      <c r="A510" t="s">
        <v>264</v>
      </c>
      <c r="B510" t="s">
        <v>754</v>
      </c>
      <c r="C510" t="s">
        <v>1170</v>
      </c>
      <c r="D510" t="s">
        <v>1359</v>
      </c>
      <c r="E510" t="s">
        <v>1375</v>
      </c>
      <c r="F510" t="s">
        <v>1377</v>
      </c>
      <c r="G510" t="s">
        <v>1387</v>
      </c>
      <c r="H510" t="s">
        <v>1390</v>
      </c>
      <c r="I510" t="s">
        <v>1394</v>
      </c>
      <c r="J510" t="s">
        <v>1398</v>
      </c>
      <c r="K510" t="s">
        <v>1589</v>
      </c>
      <c r="L510">
        <v>60.98</v>
      </c>
      <c r="M510">
        <v>10</v>
      </c>
      <c r="O510">
        <v>12.21</v>
      </c>
    </row>
    <row r="511" spans="1:15" x14ac:dyDescent="0.3">
      <c r="A511" t="s">
        <v>105</v>
      </c>
      <c r="B511" t="s">
        <v>605</v>
      </c>
      <c r="C511" t="s">
        <v>1056</v>
      </c>
      <c r="D511" t="s">
        <v>1371</v>
      </c>
      <c r="E511" t="s">
        <v>1375</v>
      </c>
      <c r="F511" t="s">
        <v>1379</v>
      </c>
      <c r="G511" t="s">
        <v>1382</v>
      </c>
      <c r="H511" t="s">
        <v>1391</v>
      </c>
      <c r="I511" t="s">
        <v>1393</v>
      </c>
      <c r="J511" t="s">
        <v>1396</v>
      </c>
      <c r="K511" t="s">
        <v>1405</v>
      </c>
      <c r="L511">
        <v>744.02</v>
      </c>
      <c r="M511">
        <v>9</v>
      </c>
      <c r="N511">
        <v>0</v>
      </c>
      <c r="O511">
        <v>77.75</v>
      </c>
    </row>
    <row r="512" spans="1:15" x14ac:dyDescent="0.3">
      <c r="A512" t="s">
        <v>337</v>
      </c>
      <c r="B512" t="s">
        <v>819</v>
      </c>
      <c r="C512" t="s">
        <v>975</v>
      </c>
      <c r="D512" t="s">
        <v>1359</v>
      </c>
      <c r="E512" t="s">
        <v>1375</v>
      </c>
      <c r="F512" t="s">
        <v>1377</v>
      </c>
      <c r="G512" t="s">
        <v>1383</v>
      </c>
      <c r="H512" t="s">
        <v>1388</v>
      </c>
      <c r="I512" t="s">
        <v>1392</v>
      </c>
      <c r="J512" t="s">
        <v>1401</v>
      </c>
      <c r="K512" t="s">
        <v>1531</v>
      </c>
      <c r="L512">
        <v>39.54</v>
      </c>
      <c r="M512">
        <v>9</v>
      </c>
      <c r="O512">
        <v>5.62</v>
      </c>
    </row>
    <row r="513" spans="1:15" x14ac:dyDescent="0.3">
      <c r="A513" t="s">
        <v>183</v>
      </c>
      <c r="B513" t="s">
        <v>680</v>
      </c>
      <c r="C513" t="s">
        <v>1127</v>
      </c>
      <c r="D513" t="s">
        <v>1365</v>
      </c>
      <c r="E513" t="s">
        <v>1375</v>
      </c>
      <c r="F513" t="s">
        <v>1377</v>
      </c>
      <c r="G513" t="s">
        <v>1383</v>
      </c>
      <c r="H513" t="s">
        <v>1391</v>
      </c>
      <c r="I513" t="s">
        <v>1393</v>
      </c>
      <c r="J513" t="s">
        <v>1396</v>
      </c>
      <c r="K513" t="s">
        <v>1537</v>
      </c>
      <c r="L513">
        <v>869.61</v>
      </c>
      <c r="M513">
        <v>5</v>
      </c>
      <c r="N513">
        <v>0.1</v>
      </c>
      <c r="O513">
        <v>-88.62</v>
      </c>
    </row>
    <row r="514" spans="1:15" x14ac:dyDescent="0.3">
      <c r="A514" t="s">
        <v>134</v>
      </c>
      <c r="B514" t="s">
        <v>632</v>
      </c>
      <c r="C514" t="s">
        <v>1019</v>
      </c>
      <c r="D514" t="s">
        <v>1366</v>
      </c>
      <c r="E514" t="s">
        <v>1374</v>
      </c>
      <c r="F514" t="s">
        <v>1379</v>
      </c>
      <c r="G514" t="s">
        <v>1384</v>
      </c>
      <c r="H514" t="s">
        <v>1389</v>
      </c>
      <c r="I514" t="s">
        <v>1392</v>
      </c>
      <c r="J514" t="s">
        <v>1397</v>
      </c>
      <c r="K514" t="s">
        <v>1497</v>
      </c>
      <c r="L514">
        <v>730.89</v>
      </c>
      <c r="M514">
        <v>3</v>
      </c>
      <c r="O514">
        <v>-38.82</v>
      </c>
    </row>
    <row r="515" spans="1:15" x14ac:dyDescent="0.3">
      <c r="A515" t="s">
        <v>81</v>
      </c>
      <c r="B515" t="s">
        <v>581</v>
      </c>
      <c r="C515" t="s">
        <v>1032</v>
      </c>
      <c r="D515" t="s">
        <v>1364</v>
      </c>
      <c r="E515" t="s">
        <v>1376</v>
      </c>
      <c r="F515" t="s">
        <v>1380</v>
      </c>
      <c r="G515" t="s">
        <v>1386</v>
      </c>
      <c r="H515" t="s">
        <v>1389</v>
      </c>
      <c r="I515" t="s">
        <v>1394</v>
      </c>
      <c r="J515" t="s">
        <v>1398</v>
      </c>
      <c r="K515" t="s">
        <v>1407</v>
      </c>
      <c r="L515">
        <v>955.02</v>
      </c>
      <c r="M515">
        <v>3</v>
      </c>
      <c r="N515">
        <v>0.2</v>
      </c>
      <c r="O515">
        <v>269.70999999999998</v>
      </c>
    </row>
    <row r="516" spans="1:15" x14ac:dyDescent="0.3">
      <c r="A516" t="s">
        <v>320</v>
      </c>
      <c r="B516" t="s">
        <v>804</v>
      </c>
      <c r="C516" t="s">
        <v>1231</v>
      </c>
      <c r="D516" t="s">
        <v>1366</v>
      </c>
      <c r="E516" t="s">
        <v>1375</v>
      </c>
      <c r="F516" t="s">
        <v>1378</v>
      </c>
      <c r="G516" t="s">
        <v>1387</v>
      </c>
      <c r="H516" t="s">
        <v>1389</v>
      </c>
      <c r="I516" t="s">
        <v>1393</v>
      </c>
      <c r="J516" t="s">
        <v>1400</v>
      </c>
      <c r="K516" t="s">
        <v>1413</v>
      </c>
      <c r="L516">
        <v>352.19</v>
      </c>
      <c r="M516">
        <v>8</v>
      </c>
      <c r="N516">
        <v>0.2</v>
      </c>
      <c r="O516">
        <v>-0.86</v>
      </c>
    </row>
    <row r="517" spans="1:15" x14ac:dyDescent="0.3">
      <c r="A517" t="s">
        <v>204</v>
      </c>
      <c r="B517" t="s">
        <v>700</v>
      </c>
      <c r="C517" t="s">
        <v>1143</v>
      </c>
      <c r="D517" t="s">
        <v>1364</v>
      </c>
      <c r="E517" t="s">
        <v>1374</v>
      </c>
      <c r="F517" t="s">
        <v>1378</v>
      </c>
      <c r="G517" t="s">
        <v>1384</v>
      </c>
      <c r="H517" t="s">
        <v>1388</v>
      </c>
      <c r="I517" t="s">
        <v>1393</v>
      </c>
      <c r="J517" t="s">
        <v>1396</v>
      </c>
      <c r="K517" t="s">
        <v>1550</v>
      </c>
      <c r="L517">
        <v>831.44</v>
      </c>
      <c r="M517">
        <v>4</v>
      </c>
      <c r="N517">
        <v>0.2</v>
      </c>
      <c r="O517">
        <v>-10.76</v>
      </c>
    </row>
    <row r="518" spans="1:15" x14ac:dyDescent="0.3">
      <c r="A518" t="s">
        <v>449</v>
      </c>
      <c r="B518" t="s">
        <v>918</v>
      </c>
      <c r="C518" t="s">
        <v>1314</v>
      </c>
      <c r="D518" t="s">
        <v>1370</v>
      </c>
      <c r="E518" t="s">
        <v>1376</v>
      </c>
      <c r="F518" t="s">
        <v>1379</v>
      </c>
      <c r="G518" t="s">
        <v>1386</v>
      </c>
      <c r="H518" t="s">
        <v>1390</v>
      </c>
      <c r="I518" t="s">
        <v>1394</v>
      </c>
      <c r="J518" t="s">
        <v>1402</v>
      </c>
      <c r="K518" t="s">
        <v>1680</v>
      </c>
      <c r="L518">
        <v>894.89</v>
      </c>
      <c r="M518">
        <v>10</v>
      </c>
      <c r="N518">
        <v>0.1</v>
      </c>
      <c r="O518">
        <v>228.26</v>
      </c>
    </row>
    <row r="519" spans="1:15" x14ac:dyDescent="0.3">
      <c r="A519" t="s">
        <v>304</v>
      </c>
      <c r="B519" t="s">
        <v>792</v>
      </c>
      <c r="C519" t="s">
        <v>1221</v>
      </c>
      <c r="D519" t="s">
        <v>1373</v>
      </c>
      <c r="E519" t="s">
        <v>1374</v>
      </c>
      <c r="F519" t="s">
        <v>1378</v>
      </c>
      <c r="G519" t="s">
        <v>1384</v>
      </c>
      <c r="H519" t="s">
        <v>1389</v>
      </c>
      <c r="I519" t="s">
        <v>1393</v>
      </c>
      <c r="J519" t="s">
        <v>1400</v>
      </c>
      <c r="K519" t="s">
        <v>1606</v>
      </c>
      <c r="L519">
        <v>142.19</v>
      </c>
      <c r="M519">
        <v>10</v>
      </c>
      <c r="O519">
        <v>34.32</v>
      </c>
    </row>
    <row r="520" spans="1:15" x14ac:dyDescent="0.3">
      <c r="A520" t="s">
        <v>157</v>
      </c>
      <c r="B520" t="s">
        <v>654</v>
      </c>
      <c r="C520" t="s">
        <v>1104</v>
      </c>
      <c r="D520" t="s">
        <v>1365</v>
      </c>
      <c r="E520" t="s">
        <v>1376</v>
      </c>
      <c r="F520" t="s">
        <v>1379</v>
      </c>
      <c r="G520" t="s">
        <v>1382</v>
      </c>
      <c r="H520" t="s">
        <v>1391</v>
      </c>
      <c r="I520" t="s">
        <v>1392</v>
      </c>
      <c r="J520" t="s">
        <v>1395</v>
      </c>
      <c r="K520" t="s">
        <v>1520</v>
      </c>
      <c r="L520">
        <v>403.56</v>
      </c>
      <c r="M520">
        <v>8</v>
      </c>
      <c r="O520">
        <v>-4.68</v>
      </c>
    </row>
    <row r="521" spans="1:15" x14ac:dyDescent="0.3">
      <c r="A521" t="s">
        <v>161</v>
      </c>
      <c r="B521" t="s">
        <v>658</v>
      </c>
      <c r="C521" t="s">
        <v>1106</v>
      </c>
      <c r="D521" t="s">
        <v>1363</v>
      </c>
      <c r="E521" t="s">
        <v>1374</v>
      </c>
      <c r="F521" t="s">
        <v>1378</v>
      </c>
      <c r="G521" t="s">
        <v>1385</v>
      </c>
      <c r="H521" t="s">
        <v>1389</v>
      </c>
      <c r="I521" t="s">
        <v>1393</v>
      </c>
      <c r="J521" t="s">
        <v>1400</v>
      </c>
      <c r="K521" t="s">
        <v>1523</v>
      </c>
      <c r="L521">
        <v>81.94</v>
      </c>
      <c r="M521">
        <v>7</v>
      </c>
      <c r="N521">
        <v>0.15</v>
      </c>
      <c r="O521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B58A35-3E7A-4675-B47D-E99C8F0165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CLEANED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shinaz mohamed</dc:creator>
  <cp:lastModifiedBy>shinaz mohamed</cp:lastModifiedBy>
  <dcterms:created xsi:type="dcterms:W3CDTF">2026-03-08T20:22:56Z</dcterms:created>
  <dcterms:modified xsi:type="dcterms:W3CDTF">2026-03-15T19:19:28Z</dcterms:modified>
</cp:coreProperties>
</file>